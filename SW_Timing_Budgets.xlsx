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yrel\Documents\CTRL-F_Payload_2026\"/>
    </mc:Choice>
  </mc:AlternateContent>
  <xr:revisionPtr revIDLastSave="0" documentId="13_ncr:1_{AF459259-B707-4C8F-9095-5DF183CCA6F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W_Timing_Budgets" sheetId="1" r:id="rId1"/>
    <sheet name="Interface_Data_Rates" sheetId="2" r:id="rId2"/>
    <sheet name="Power_Budget" sheetId="3" r:id="rId3"/>
    <sheet name="CPU_Load" sheetId="4" r:id="rId4"/>
    <sheet name="Memory_Logging" sheetId="5" r:id="rId5"/>
    <sheet name="Clock_Sync_Accuracy" sheetId="6" r:id="rId6"/>
    <sheet name="Link_Margin_SI" sheetId="7" r:id="rId7"/>
    <sheet name="RF_GPS_Link" sheetId="8" r:id="rId8"/>
    <sheet name="Magnetic_Interference" sheetId="9" r:id="rId9"/>
    <sheet name="Thermal" sheetId="10" r:id="rId10"/>
    <sheet name="Pin_Map" sheetId="11" r:id="rId11"/>
    <sheet name="Cost_BOM" sheetId="12" r:id="rId12"/>
    <sheet name="Summary_Index" sheetId="13" r:id="rId13"/>
  </sheets>
  <definedNames>
    <definedName name="AL_Bit">SW_Timing_Budgets!$K$24:$K$34</definedName>
    <definedName name="AL_Board">SW_Timing_Budgets!$B$24:$B$34</definedName>
    <definedName name="AL_Err">SW_Timing_Budgets!$L$24:$L$34</definedName>
    <definedName name="AL_ID">SW_Timing_Budgets!$A$24:$A$34</definedName>
    <definedName name="AL_Periph">SW_Timing_Budgets!$E$24:$E$34</definedName>
    <definedName name="Ballow">Magnetic_Interference!$D$8</definedName>
    <definedName name="Bat_mAh">Power_Budget!$D$13</definedName>
    <definedName name="Bat_use">Power_Budget!$E$13</definedName>
    <definedName name="Bh">Magnetic_Interference!$D$6</definedName>
    <definedName name="Buck_Iq">Power_Budget!$D$9</definedName>
    <definedName name="Buck_Rating">Power_Budget!$D$10</definedName>
    <definedName name="BuckLoss_max">Power_Budget!$E$54</definedName>
    <definedName name="BUS_Board">Interface_Data_Rates!$B$30:$B$38</definedName>
    <definedName name="BUS_ID">Interface_Data_Rates!$A$30:$A$38</definedName>
    <definedName name="BUS_Sync">Interface_Data_Rates!$H$30:$H$38</definedName>
    <definedName name="BUS_Util">Interface_Data_Rates!$D$30:$D$38</definedName>
    <definedName name="BUS_Worst">Interface_Data_Rates!$G$30:$G$38</definedName>
    <definedName name="CLK_Board">SW_Timing_Budgets!$A$18:$A$20</definedName>
    <definedName name="CLK_HCLK">SW_Timing_Budgets!$I$18:$I$20</definedName>
    <definedName name="CLK_HSE">SW_Timing_Budgets!$D$18:$D$20</definedName>
    <definedName name="CLK_P1">SW_Timing_Budgets!$J$18:$J$20</definedName>
    <definedName name="CLK_P2">SW_Timing_Budgets!$K$18:$K$20</definedName>
    <definedName name="CLK_SYS">SW_Timing_Budgets!$E$18:$E$20</definedName>
    <definedName name="CLK_T1">SW_Timing_Budgets!$L$18:$L$20</definedName>
    <definedName name="CLK_T2">SW_Timing_Budgets!$M$18:$M$20</definedName>
    <definedName name="CPU_Board">CPU_Load!$A$39:$A$41</definedName>
    <definedName name="CPU_Util">CPU_Load!$E$39:$E$41</definedName>
    <definedName name="CtxCyc">CPU_Load!$D$8</definedName>
    <definedName name="DMA_Board">SW_Timing_Budgets!$B$38:$B$59</definedName>
    <definedName name="DMA_Bytes">SW_Timing_Budgets!$L$38:$L$59</definedName>
    <definedName name="DMA_Conf">SW_Timing_Budgets!$O$38:$O$59</definedName>
    <definedName name="DMA_Key">SW_Timing_Budgets!$A$38:$A$59</definedName>
    <definedName name="DMA_Text">SW_Timing_Budgets!$Q$38:$Q$59</definedName>
    <definedName name="DMA_Use">SW_Timing_Budgets!$E$38:$E$59</definedName>
    <definedName name="Eta_hi">Power_Budget!$F$8</definedName>
    <definedName name="Eta_lo">Power_Budget!$D$8</definedName>
    <definedName name="Eta_typ">Power_Budget!$E$8</definedName>
    <definedName name="ExtFee">Cost_BOM!$D$6</definedName>
    <definedName name="GpsHz">SW_Timing_Budgets!$D$12</definedName>
    <definedName name="HdgDeg">Magnetic_Interference!$D$7</definedName>
    <definedName name="Ibase_F4">Power_Budget!$D$20</definedName>
    <definedName name="Ibase_G0">Power_Budget!$D$21</definedName>
    <definedName name="Ibat_max_min">Power_Budget!$F$54</definedName>
    <definedName name="Ibat_pk_min">Power_Budget!$F$55</definedName>
    <definedName name="Ibat_typ_min">Power_Budget!$F$53</definedName>
    <definedName name="Ibat_typ_nom">Power_Budget!$G$53</definedName>
    <definedName name="IDR_Alloc">Interface_Data_Rates!$D$14:$D$26</definedName>
    <definedName name="IDR_Bus">Interface_Data_Rates!$C$14:$C$26</definedName>
    <definedName name="IDR_Busy">Interface_Data_Rates!$P$14:$P$26</definedName>
    <definedName name="IDR_Bytes">Interface_Data_Rates!$I$14:$I$26</definedName>
    <definedName name="IDR_ID">Interface_Data_Rates!$A$14:$A$26</definedName>
    <definedName name="IDR_N">Interface_Data_Rates!$N$14:$N$26</definedName>
    <definedName name="IDR_Pay">Interface_Data_Rates!$R$14:$R$26</definedName>
    <definedName name="IDR_Rate">Interface_Data_Rates!$O$14:$O$26</definedName>
    <definedName name="IDR_Time">Interface_Data_Rates!$M$14:$M$26</definedName>
    <definedName name="IDR_Util">Interface_Data_Rates!$Q$14:$Q$26</definedName>
    <definedName name="Irail_max">Power_Budget!$G$43</definedName>
    <definedName name="Irail_min">Power_Budget!$E$43</definedName>
    <definedName name="Irail_pk">Power_Budget!$H$43</definedName>
    <definedName name="Irail_typ">Power_Budget!$F$43</definedName>
    <definedName name="ISR_Board">CPU_Load!$A$12:$A$35</definedName>
    <definedName name="ISR_us">CPU_Load!$F$12:$F$35</definedName>
    <definedName name="IsrJit">Clock_Sync_Accuracy!$D$23</definedName>
    <definedName name="kF4">Power_Budget!$E$20</definedName>
    <definedName name="kG0">Power_Budget!$E$21</definedName>
    <definedName name="LED_Duty">Power_Budget!$D$15</definedName>
    <definedName name="LED_R">Power_Budget!$E$14</definedName>
    <definedName name="LED_Vf">Power_Budget!$D$14</definedName>
    <definedName name="LOG_Bps">Memory_Logging!$D$19</definedName>
    <definedName name="LOG_Buf">Memory_Logging!$D$34</definedName>
    <definedName name="LOG_BytesPerCycle">Memory_Logging!$D$21</definedName>
    <definedName name="LOG_FillMs">Memory_Logging!$D$35</definedName>
    <definedName name="LoopHz">SW_Timing_Budgets!$D$6</definedName>
    <definedName name="LoopMinHz">SW_Timing_Budgets!$D$7</definedName>
    <definedName name="LoopUs">SW_Timing_Budgets!$D$8</definedName>
    <definedName name="LossQ1_max">Power_Budget!$I$54</definedName>
    <definedName name="MagBr">Magnetic_Interference!$D$20</definedName>
    <definedName name="MagFS">Magnetic_Interference!$D$9</definedName>
    <definedName name="MagHz">SW_Timing_Budgets!$D$11</definedName>
    <definedName name="MagL">Magnetic_Interference!$D$22</definedName>
    <definedName name="MagR">Magnetic_Interference!$D$21</definedName>
    <definedName name="MAP_Ch">SW_Timing_Budgets!$D$69:$D$87</definedName>
    <definedName name="MAP_Ctrl">SW_Timing_Budgets!$B$69:$B$87</definedName>
    <definedName name="MAP_Req">SW_Timing_Budgets!$A$69:$A$87</definedName>
    <definedName name="MAP_Stream">SW_Timing_Budgets!$C$69:$C$87</definedName>
    <definedName name="MaxBusUtil">SW_Timing_Budgets!$D$9</definedName>
    <definedName name="MaxCpuUtil">SW_Timing_Budgets!$D$10</definedName>
    <definedName name="MCU_max">Power_Budget!$E$22</definedName>
    <definedName name="MCU_min">Power_Budget!$D$22</definedName>
    <definedName name="MissionMin">Memory_Logging!$D$23</definedName>
    <definedName name="NPanels">Cost_BOM!$D$5</definedName>
    <definedName name="PpsAcc">Clock_Sync_Accuracy!$D$26</definedName>
    <definedName name="PROTO_Bits">Interface_Data_Rates!$B$7:$B$10</definedName>
    <definedName name="PROTO_Name">Interface_Data_Rates!$A$7:$A$10</definedName>
    <definedName name="PWR_Board">Power_Budget!$A$26:$A$42</definedName>
    <definedName name="PWR_Pmax">Power_Budget!$K$26:$K$42</definedName>
    <definedName name="PWR_Ref">Power_Budget!$B$26:$B$42</definedName>
    <definedName name="RatingQ1">Power_Budget!$D$12</definedName>
    <definedName name="RdsQ1">Power_Budget!$D$11</definedName>
    <definedName name="RF_CN0">RF_GPS_Link!$D$14</definedName>
    <definedName name="RF_CN0min">RF_GPS_Link!$D$15</definedName>
    <definedName name="RF_Gant">RF_GPS_Link!$D$7</definedName>
    <definedName name="RF_Glna">RF_GPS_Link!$D$8</definedName>
    <definedName name="RF_Gmax">RF_GPS_Link!$D$18</definedName>
    <definedName name="RF_Lcab">RF_GPS_Link!$D$10</definedName>
    <definedName name="RF_Lpcb">RF_GPS_Link!$D$11</definedName>
    <definedName name="RF_NFlna">RF_GPS_Link!$D$9</definedName>
    <definedName name="RF_NFrx">RF_GPS_Link!$D$12</definedName>
    <definedName name="RF_NFsys">RF_GPS_Link!$D$13</definedName>
    <definedName name="RF_Sig">RF_GPS_Link!$D$6</definedName>
    <definedName name="Rp_B1">Power_Budget!$D$16</definedName>
    <definedName name="Rp_B3">Power_Budget!$E$16</definedName>
    <definedName name="RS_Iq">Power_Budget!$D$19</definedName>
    <definedName name="RS_Rload">Power_Budget!$E$18</definedName>
    <definedName name="RS_Vod">Power_Budget!$D$18</definedName>
    <definedName name="RtosMaxSys">CPU_Load!$D$6</definedName>
    <definedName name="RtosTick">CPU_Load!$D$7</definedName>
    <definedName name="SD_Act">Power_Budget!$E$17</definedName>
    <definedName name="SD_Chunk">Memory_Logging!$D$32</definedName>
    <definedName name="SD_GB">Memory_Logging!$D$25</definedName>
    <definedName name="SD_Idle">Power_Budget!$D$17</definedName>
    <definedName name="SD_MinMBps">Memory_Logging!$D$27</definedName>
    <definedName name="SD_Stall">Memory_Logging!$D$31</definedName>
    <definedName name="SdioMHz">SW_Timing_Budgets!$D$13</definedName>
    <definedName name="SetupFee">Cost_BOM!$D$7</definedName>
    <definedName name="Ta">Thermal!$D$5</definedName>
    <definedName name="TIM_Board">SW_Timing_Budgets!$A$91:$A$98</definedName>
    <definedName name="TIM_Name">SW_Timing_Budgets!$B$91:$B$98</definedName>
    <definedName name="TIM_Tick">SW_Timing_Budgets!$G$91:$G$98</definedName>
    <definedName name="TIM_Upd">SW_Timing_Budgets!$I$91:$I$98</definedName>
    <definedName name="TjMargin">Thermal!$D$6</definedName>
    <definedName name="TL_AvgCPU">SW_Timing_Budgets!$M$102:$M$123</definedName>
    <definedName name="TL_Board">SW_Timing_Budgets!$A$102:$A$123</definedName>
    <definedName name="TL_CPUus">SW_Timing_Budgets!$H$102:$H$123</definedName>
    <definedName name="TL_Occ">SW_Timing_Budgets!$I$102:$I$123</definedName>
    <definedName name="TL_Task">SW_Timing_Budgets!$C$102:$C$123</definedName>
    <definedName name="TL_Worst">SW_Timing_Budgets!$J$102:$J$123</definedName>
    <definedName name="TLS_Board">SW_Timing_Budgets!$A$126:$A$128</definedName>
    <definedName name="TLS_Busw">SW_Timing_Budgets!$C$126:$C$128</definedName>
    <definedName name="TLS_CPUw">SW_Timing_Budgets!$B$126:$B$128</definedName>
    <definedName name="Vbat_max">Power_Budget!$F$7</definedName>
    <definedName name="Vbat_min">Power_Budget!$D$7</definedName>
    <definedName name="Vbat_nom">Power_Budget!$E$7</definedName>
    <definedName name="Vrail">Power_Budget!$D$6</definedName>
    <definedName name="Xt_age">Clock_Sync_Accuracy!$D$8</definedName>
    <definedName name="Xt_ppm">Clock_Sync_Accuracy!$D$10</definedName>
    <definedName name="Xt_pull">Clock_Sync_Accuracy!$D$9</definedName>
    <definedName name="Xt_temp">Clock_Sync_Accuracy!$D$7</definedName>
    <definedName name="Xt_tol">Clock_Sync_Accuracy!$D$6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2" l="1"/>
  <c r="E35" i="2"/>
  <c r="J35" i="2"/>
  <c r="D35" i="2"/>
  <c r="C21" i="13"/>
  <c r="C18" i="13"/>
  <c r="C17" i="13"/>
  <c r="C16" i="13"/>
  <c r="C7" i="13"/>
  <c r="B7" i="13"/>
  <c r="D46" i="12"/>
  <c r="D42" i="12"/>
  <c r="D43" i="12" s="1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D44" i="12" s="1"/>
  <c r="K68" i="11"/>
  <c r="J68" i="11"/>
  <c r="I68" i="11"/>
  <c r="K67" i="11"/>
  <c r="J67" i="11"/>
  <c r="I67" i="11"/>
  <c r="I66" i="11"/>
  <c r="K65" i="11"/>
  <c r="J65" i="11"/>
  <c r="I65" i="11"/>
  <c r="K64" i="11"/>
  <c r="J64" i="11"/>
  <c r="I64" i="11"/>
  <c r="K63" i="11"/>
  <c r="J63" i="11"/>
  <c r="I63" i="11"/>
  <c r="K62" i="11"/>
  <c r="J62" i="11"/>
  <c r="I62" i="11"/>
  <c r="K61" i="11"/>
  <c r="J61" i="11"/>
  <c r="I61" i="11"/>
  <c r="K60" i="11"/>
  <c r="J60" i="11"/>
  <c r="I60" i="11"/>
  <c r="K59" i="11"/>
  <c r="J59" i="11"/>
  <c r="I59" i="11"/>
  <c r="K58" i="11"/>
  <c r="J58" i="11"/>
  <c r="I58" i="11"/>
  <c r="K57" i="11"/>
  <c r="I57" i="11"/>
  <c r="J57" i="11" s="1"/>
  <c r="K56" i="11"/>
  <c r="J56" i="11"/>
  <c r="I56" i="11"/>
  <c r="K55" i="11"/>
  <c r="J55" i="11"/>
  <c r="I55" i="11"/>
  <c r="I54" i="11"/>
  <c r="K53" i="11"/>
  <c r="J53" i="11"/>
  <c r="I53" i="11"/>
  <c r="K52" i="11"/>
  <c r="J52" i="11"/>
  <c r="I52" i="11"/>
  <c r="K51" i="11"/>
  <c r="J51" i="11"/>
  <c r="I51" i="11"/>
  <c r="K50" i="11"/>
  <c r="J50" i="11"/>
  <c r="I50" i="11"/>
  <c r="K49" i="11"/>
  <c r="J49" i="11"/>
  <c r="I49" i="11"/>
  <c r="K48" i="11"/>
  <c r="J48" i="11"/>
  <c r="I48" i="11"/>
  <c r="K47" i="11"/>
  <c r="J47" i="11"/>
  <c r="I47" i="11"/>
  <c r="K46" i="11"/>
  <c r="J46" i="11"/>
  <c r="I46" i="11"/>
  <c r="K45" i="11"/>
  <c r="J45" i="11"/>
  <c r="I45" i="11"/>
  <c r="K44" i="11"/>
  <c r="J44" i="11"/>
  <c r="I44" i="11"/>
  <c r="K43" i="11"/>
  <c r="J43" i="11"/>
  <c r="I43" i="11"/>
  <c r="K42" i="11"/>
  <c r="J42" i="11"/>
  <c r="I42" i="11"/>
  <c r="K41" i="11"/>
  <c r="J41" i="11"/>
  <c r="I41" i="11"/>
  <c r="K40" i="11"/>
  <c r="J40" i="11"/>
  <c r="I40" i="11"/>
  <c r="K39" i="11"/>
  <c r="J39" i="11"/>
  <c r="I39" i="11"/>
  <c r="K38" i="11"/>
  <c r="J38" i="11"/>
  <c r="I38" i="11"/>
  <c r="K37" i="11"/>
  <c r="J37" i="11"/>
  <c r="I37" i="11"/>
  <c r="I36" i="11"/>
  <c r="K35" i="11"/>
  <c r="J35" i="11"/>
  <c r="I35" i="11"/>
  <c r="K34" i="11"/>
  <c r="J34" i="11"/>
  <c r="I34" i="11"/>
  <c r="K33" i="11"/>
  <c r="J33" i="11"/>
  <c r="I33" i="11"/>
  <c r="K32" i="11"/>
  <c r="J32" i="11"/>
  <c r="I32" i="11"/>
  <c r="K31" i="11"/>
  <c r="J31" i="11"/>
  <c r="I31" i="11"/>
  <c r="K30" i="11"/>
  <c r="J30" i="11"/>
  <c r="I30" i="11"/>
  <c r="K29" i="11"/>
  <c r="J29" i="11"/>
  <c r="I29" i="11"/>
  <c r="I28" i="11"/>
  <c r="I27" i="11"/>
  <c r="K26" i="11"/>
  <c r="J26" i="11"/>
  <c r="I26" i="11"/>
  <c r="K25" i="11"/>
  <c r="J25" i="11"/>
  <c r="I25" i="11"/>
  <c r="K24" i="11"/>
  <c r="J24" i="11"/>
  <c r="I24" i="11"/>
  <c r="K23" i="11"/>
  <c r="J23" i="11"/>
  <c r="I23" i="11"/>
  <c r="K22" i="11"/>
  <c r="J22" i="11"/>
  <c r="I22" i="11"/>
  <c r="K21" i="11"/>
  <c r="J21" i="11"/>
  <c r="I21" i="11"/>
  <c r="K20" i="11"/>
  <c r="J20" i="11"/>
  <c r="I20" i="11"/>
  <c r="K19" i="11"/>
  <c r="J19" i="11"/>
  <c r="I19" i="11"/>
  <c r="K18" i="11"/>
  <c r="J18" i="11"/>
  <c r="I18" i="11"/>
  <c r="K17" i="11"/>
  <c r="J17" i="11"/>
  <c r="I17" i="11"/>
  <c r="K16" i="11"/>
  <c r="J16" i="11"/>
  <c r="I16" i="11"/>
  <c r="K15" i="11"/>
  <c r="J15" i="11"/>
  <c r="I15" i="11"/>
  <c r="K14" i="11"/>
  <c r="J14" i="11"/>
  <c r="I14" i="11"/>
  <c r="K13" i="11"/>
  <c r="J13" i="11"/>
  <c r="I13" i="11"/>
  <c r="K12" i="11"/>
  <c r="J12" i="11"/>
  <c r="I12" i="11"/>
  <c r="K11" i="11"/>
  <c r="J11" i="11"/>
  <c r="I11" i="11"/>
  <c r="K10" i="11"/>
  <c r="J10" i="11"/>
  <c r="I10" i="11"/>
  <c r="K9" i="11"/>
  <c r="J9" i="11"/>
  <c r="I9" i="11"/>
  <c r="K8" i="11"/>
  <c r="J8" i="11"/>
  <c r="I8" i="11"/>
  <c r="K7" i="11"/>
  <c r="J7" i="11"/>
  <c r="I7" i="11"/>
  <c r="K6" i="11"/>
  <c r="J6" i="11"/>
  <c r="I6" i="11"/>
  <c r="B29" i="9"/>
  <c r="C29" i="9" s="1"/>
  <c r="D29" i="9" s="1"/>
  <c r="E29" i="9" s="1"/>
  <c r="B28" i="9"/>
  <c r="C28" i="9" s="1"/>
  <c r="D28" i="9" s="1"/>
  <c r="E28" i="9" s="1"/>
  <c r="C27" i="9"/>
  <c r="D27" i="9" s="1"/>
  <c r="E27" i="9" s="1"/>
  <c r="B27" i="9"/>
  <c r="B26" i="9"/>
  <c r="C26" i="9" s="1"/>
  <c r="D26" i="9" s="1"/>
  <c r="E26" i="9" s="1"/>
  <c r="C25" i="9"/>
  <c r="D25" i="9" s="1"/>
  <c r="E25" i="9" s="1"/>
  <c r="B25" i="9"/>
  <c r="E15" i="9"/>
  <c r="D8" i="9"/>
  <c r="C36" i="8"/>
  <c r="C34" i="8"/>
  <c r="G33" i="8"/>
  <c r="F33" i="8"/>
  <c r="E33" i="8"/>
  <c r="H33" i="8" s="1"/>
  <c r="I33" i="8" s="1"/>
  <c r="D33" i="8"/>
  <c r="C29" i="8"/>
  <c r="D17" i="8"/>
  <c r="D19" i="8" s="1"/>
  <c r="D13" i="8"/>
  <c r="D14" i="8" s="1"/>
  <c r="F29" i="7"/>
  <c r="G29" i="7" s="1"/>
  <c r="I29" i="7" s="1"/>
  <c r="J29" i="7" s="1"/>
  <c r="D29" i="7"/>
  <c r="B29" i="7"/>
  <c r="F28" i="7"/>
  <c r="D28" i="7"/>
  <c r="B28" i="7"/>
  <c r="G28" i="7" s="1"/>
  <c r="I28" i="7" s="1"/>
  <c r="J28" i="7" s="1"/>
  <c r="F27" i="7"/>
  <c r="D27" i="7"/>
  <c r="B27" i="7"/>
  <c r="G27" i="7" s="1"/>
  <c r="I27" i="7" s="1"/>
  <c r="J27" i="7" s="1"/>
  <c r="F26" i="7"/>
  <c r="D26" i="7"/>
  <c r="B26" i="7"/>
  <c r="G26" i="7" s="1"/>
  <c r="I26" i="7" s="1"/>
  <c r="J26" i="7" s="1"/>
  <c r="D22" i="7"/>
  <c r="G22" i="7" s="1"/>
  <c r="B22" i="7"/>
  <c r="E22" i="7" s="1"/>
  <c r="D21" i="7"/>
  <c r="G21" i="7" s="1"/>
  <c r="B21" i="7"/>
  <c r="E21" i="7" s="1"/>
  <c r="C17" i="7"/>
  <c r="B17" i="7"/>
  <c r="F17" i="7" s="1"/>
  <c r="C16" i="7"/>
  <c r="B16" i="7"/>
  <c r="F16" i="7" s="1"/>
  <c r="C15" i="7"/>
  <c r="B15" i="7"/>
  <c r="F15" i="7" s="1"/>
  <c r="I11" i="7"/>
  <c r="J11" i="7" s="1"/>
  <c r="E11" i="7"/>
  <c r="F11" i="7" s="1"/>
  <c r="I10" i="7"/>
  <c r="J10" i="7" s="1"/>
  <c r="E10" i="7"/>
  <c r="F10" i="7" s="1"/>
  <c r="I9" i="7"/>
  <c r="J9" i="7" s="1"/>
  <c r="E9" i="7"/>
  <c r="F9" i="7" s="1"/>
  <c r="I8" i="7"/>
  <c r="J8" i="7" s="1"/>
  <c r="E8" i="7"/>
  <c r="F8" i="7" s="1"/>
  <c r="I7" i="7"/>
  <c r="J7" i="7" s="1"/>
  <c r="E7" i="7"/>
  <c r="F7" i="7" s="1"/>
  <c r="C43" i="6"/>
  <c r="C35" i="6"/>
  <c r="D20" i="6"/>
  <c r="D10" i="6"/>
  <c r="H58" i="5"/>
  <c r="H57" i="5"/>
  <c r="H56" i="5"/>
  <c r="B19" i="5"/>
  <c r="D18" i="5"/>
  <c r="D17" i="5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D19" i="5" s="1"/>
  <c r="F41" i="4"/>
  <c r="B41" i="4"/>
  <c r="F40" i="4"/>
  <c r="B40" i="4"/>
  <c r="F39" i="4"/>
  <c r="B39" i="4"/>
  <c r="J35" i="4"/>
  <c r="F35" i="4"/>
  <c r="G35" i="4" s="1"/>
  <c r="J34" i="4"/>
  <c r="J33" i="4"/>
  <c r="J32" i="4"/>
  <c r="J31" i="4"/>
  <c r="J30" i="4"/>
  <c r="F30" i="4"/>
  <c r="G30" i="4" s="1"/>
  <c r="J29" i="4"/>
  <c r="D29" i="4"/>
  <c r="F29" i="4" s="1"/>
  <c r="G29" i="4" s="1"/>
  <c r="J28" i="4"/>
  <c r="D28" i="4"/>
  <c r="F28" i="4" s="1"/>
  <c r="G28" i="4" s="1"/>
  <c r="J27" i="4"/>
  <c r="D27" i="4"/>
  <c r="F27" i="4" s="1"/>
  <c r="G27" i="4" s="1"/>
  <c r="J26" i="4"/>
  <c r="D26" i="4"/>
  <c r="F26" i="4" s="1"/>
  <c r="J25" i="4"/>
  <c r="E25" i="4"/>
  <c r="D25" i="4"/>
  <c r="F25" i="4" s="1"/>
  <c r="G25" i="4" s="1"/>
  <c r="J24" i="4"/>
  <c r="D24" i="4"/>
  <c r="F24" i="4" s="1"/>
  <c r="G24" i="4" s="1"/>
  <c r="J23" i="4"/>
  <c r="J22" i="4"/>
  <c r="D22" i="4"/>
  <c r="F22" i="4" s="1"/>
  <c r="G22" i="4" s="1"/>
  <c r="J21" i="4"/>
  <c r="J20" i="4"/>
  <c r="J19" i="4"/>
  <c r="D19" i="4"/>
  <c r="F19" i="4" s="1"/>
  <c r="G19" i="4" s="1"/>
  <c r="J18" i="4"/>
  <c r="D18" i="4"/>
  <c r="F18" i="4" s="1"/>
  <c r="G18" i="4" s="1"/>
  <c r="J17" i="4"/>
  <c r="D17" i="4"/>
  <c r="F17" i="4" s="1"/>
  <c r="G17" i="4" s="1"/>
  <c r="J16" i="4"/>
  <c r="J15" i="4"/>
  <c r="J14" i="4"/>
  <c r="J13" i="4"/>
  <c r="J12" i="4"/>
  <c r="D12" i="4"/>
  <c r="F12" i="4" s="1"/>
  <c r="B60" i="3"/>
  <c r="D60" i="3" s="1"/>
  <c r="E60" i="3" s="1"/>
  <c r="C59" i="3"/>
  <c r="C58" i="3"/>
  <c r="D55" i="3"/>
  <c r="D54" i="3"/>
  <c r="D53" i="3"/>
  <c r="D52" i="3"/>
  <c r="B49" i="3"/>
  <c r="C48" i="3"/>
  <c r="B48" i="3"/>
  <c r="B47" i="3"/>
  <c r="E43" i="3"/>
  <c r="B52" i="3" s="1"/>
  <c r="C52" i="3" s="1"/>
  <c r="D43" i="3"/>
  <c r="G42" i="3"/>
  <c r="D42" i="3"/>
  <c r="G41" i="3"/>
  <c r="H41" i="3" s="1"/>
  <c r="D41" i="3"/>
  <c r="K40" i="3"/>
  <c r="I40" i="3"/>
  <c r="G40" i="3"/>
  <c r="H40" i="3" s="1"/>
  <c r="L40" i="3" s="1"/>
  <c r="E40" i="3"/>
  <c r="D40" i="3"/>
  <c r="D39" i="3"/>
  <c r="D38" i="3"/>
  <c r="F37" i="3"/>
  <c r="G37" i="3" s="1"/>
  <c r="E37" i="3"/>
  <c r="D37" i="3"/>
  <c r="G36" i="3"/>
  <c r="H36" i="3" s="1"/>
  <c r="F36" i="3"/>
  <c r="D36" i="3"/>
  <c r="D35" i="3"/>
  <c r="F34" i="3"/>
  <c r="G34" i="3" s="1"/>
  <c r="E34" i="3"/>
  <c r="D34" i="3"/>
  <c r="G33" i="3"/>
  <c r="H33" i="3" s="1"/>
  <c r="F33" i="3"/>
  <c r="D33" i="3"/>
  <c r="G32" i="3"/>
  <c r="H32" i="3" s="1"/>
  <c r="D32" i="3"/>
  <c r="G31" i="3"/>
  <c r="H31" i="3" s="1"/>
  <c r="D31" i="3"/>
  <c r="G30" i="3"/>
  <c r="H30" i="3" s="1"/>
  <c r="E30" i="3"/>
  <c r="D30" i="3"/>
  <c r="G29" i="3"/>
  <c r="E29" i="3"/>
  <c r="D29" i="3"/>
  <c r="D28" i="3"/>
  <c r="D27" i="3"/>
  <c r="J26" i="3"/>
  <c r="I26" i="3"/>
  <c r="F26" i="3"/>
  <c r="G26" i="3" s="1"/>
  <c r="E26" i="3"/>
  <c r="D26" i="3"/>
  <c r="I38" i="2"/>
  <c r="E38" i="2"/>
  <c r="I37" i="2"/>
  <c r="E37" i="2"/>
  <c r="E36" i="2"/>
  <c r="E34" i="2"/>
  <c r="E33" i="2"/>
  <c r="E32" i="2"/>
  <c r="E31" i="2"/>
  <c r="E30" i="2"/>
  <c r="J26" i="2"/>
  <c r="I26" i="2"/>
  <c r="N25" i="2"/>
  <c r="O25" i="2" s="1"/>
  <c r="J25" i="2"/>
  <c r="I25" i="2"/>
  <c r="N24" i="2"/>
  <c r="O24" i="2" s="1"/>
  <c r="J24" i="2"/>
  <c r="I24" i="2"/>
  <c r="N23" i="2"/>
  <c r="O23" i="2" s="1"/>
  <c r="J23" i="2"/>
  <c r="I23" i="2"/>
  <c r="O22" i="2"/>
  <c r="R22" i="2" s="1"/>
  <c r="J22" i="2"/>
  <c r="I22" i="2"/>
  <c r="O21" i="2"/>
  <c r="R21" i="2" s="1"/>
  <c r="J21" i="2"/>
  <c r="I21" i="2"/>
  <c r="O20" i="2"/>
  <c r="R20" i="2" s="1"/>
  <c r="J20" i="2"/>
  <c r="I20" i="2"/>
  <c r="O19" i="2"/>
  <c r="R19" i="2" s="1"/>
  <c r="J19" i="2"/>
  <c r="I19" i="2"/>
  <c r="O18" i="2"/>
  <c r="J18" i="2"/>
  <c r="I18" i="2"/>
  <c r="O17" i="2"/>
  <c r="R17" i="2" s="1"/>
  <c r="J17" i="2"/>
  <c r="I17" i="2"/>
  <c r="N16" i="2"/>
  <c r="O16" i="2" s="1"/>
  <c r="J16" i="2"/>
  <c r="I16" i="2"/>
  <c r="N15" i="2"/>
  <c r="O15" i="2" s="1"/>
  <c r="J15" i="2"/>
  <c r="I15" i="2"/>
  <c r="O14" i="2"/>
  <c r="J14" i="2"/>
  <c r="I14" i="2"/>
  <c r="H128" i="1"/>
  <c r="H127" i="1"/>
  <c r="H126" i="1"/>
  <c r="I123" i="1"/>
  <c r="H123" i="1"/>
  <c r="M123" i="1" s="1"/>
  <c r="I122" i="1"/>
  <c r="H122" i="1"/>
  <c r="M122" i="1" s="1"/>
  <c r="F122" i="1"/>
  <c r="I121" i="1"/>
  <c r="H121" i="1"/>
  <c r="M121" i="1" s="1"/>
  <c r="I120" i="1"/>
  <c r="H120" i="1"/>
  <c r="M120" i="1" s="1"/>
  <c r="I119" i="1"/>
  <c r="H119" i="1"/>
  <c r="M119" i="1" s="1"/>
  <c r="I118" i="1"/>
  <c r="H118" i="1"/>
  <c r="M118" i="1" s="1"/>
  <c r="I117" i="1"/>
  <c r="H117" i="1"/>
  <c r="M117" i="1" s="1"/>
  <c r="I116" i="1"/>
  <c r="H116" i="1"/>
  <c r="M116" i="1" s="1"/>
  <c r="H115" i="1"/>
  <c r="M115" i="1" s="1"/>
  <c r="F115" i="1"/>
  <c r="I114" i="1"/>
  <c r="H114" i="1"/>
  <c r="M114" i="1" s="1"/>
  <c r="H113" i="1"/>
  <c r="H112" i="1"/>
  <c r="M112" i="1" s="1"/>
  <c r="F112" i="1"/>
  <c r="H111" i="1"/>
  <c r="M111" i="1" s="1"/>
  <c r="F111" i="1"/>
  <c r="I110" i="1"/>
  <c r="H110" i="1"/>
  <c r="M110" i="1" s="1"/>
  <c r="I109" i="1"/>
  <c r="H109" i="1"/>
  <c r="M109" i="1" s="1"/>
  <c r="I108" i="1"/>
  <c r="H108" i="1"/>
  <c r="M108" i="1" s="1"/>
  <c r="I107" i="1"/>
  <c r="H107" i="1"/>
  <c r="M107" i="1" s="1"/>
  <c r="I106" i="1"/>
  <c r="H106" i="1"/>
  <c r="M106" i="1" s="1"/>
  <c r="I105" i="1"/>
  <c r="H105" i="1"/>
  <c r="M105" i="1" s="1"/>
  <c r="I104" i="1"/>
  <c r="H104" i="1"/>
  <c r="M104" i="1" s="1"/>
  <c r="I103" i="1"/>
  <c r="H103" i="1"/>
  <c r="M103" i="1" s="1"/>
  <c r="H102" i="1"/>
  <c r="M102" i="1" s="1"/>
  <c r="F102" i="1"/>
  <c r="C65" i="1"/>
  <c r="C64" i="1"/>
  <c r="C63" i="1"/>
  <c r="C62" i="1"/>
  <c r="Q59" i="1"/>
  <c r="P59" i="1"/>
  <c r="O59" i="1"/>
  <c r="M59" i="1"/>
  <c r="L59" i="1"/>
  <c r="N59" i="1" s="1"/>
  <c r="A59" i="1"/>
  <c r="Q58" i="1"/>
  <c r="P58" i="1"/>
  <c r="O58" i="1"/>
  <c r="M58" i="1"/>
  <c r="L58" i="1"/>
  <c r="N58" i="1" s="1"/>
  <c r="A58" i="1"/>
  <c r="Q57" i="1"/>
  <c r="P57" i="1"/>
  <c r="O57" i="1"/>
  <c r="L57" i="1"/>
  <c r="A57" i="1"/>
  <c r="Q56" i="1"/>
  <c r="P56" i="1"/>
  <c r="O56" i="1"/>
  <c r="D65" i="1" s="1"/>
  <c r="F65" i="1" s="1"/>
  <c r="L56" i="1"/>
  <c r="A56" i="1"/>
  <c r="Q55" i="1"/>
  <c r="P55" i="1"/>
  <c r="O55" i="1"/>
  <c r="M55" i="1"/>
  <c r="L55" i="1"/>
  <c r="N55" i="1" s="1"/>
  <c r="A55" i="1"/>
  <c r="Q54" i="1"/>
  <c r="P54" i="1"/>
  <c r="O54" i="1"/>
  <c r="M54" i="1"/>
  <c r="L54" i="1"/>
  <c r="N54" i="1" s="1"/>
  <c r="A54" i="1"/>
  <c r="Q53" i="1"/>
  <c r="P53" i="1"/>
  <c r="O53" i="1"/>
  <c r="A53" i="1"/>
  <c r="Q52" i="1"/>
  <c r="P52" i="1"/>
  <c r="O52" i="1"/>
  <c r="M52" i="1"/>
  <c r="L52" i="1"/>
  <c r="N52" i="1" s="1"/>
  <c r="A52" i="1"/>
  <c r="Q51" i="1"/>
  <c r="P51" i="1"/>
  <c r="O51" i="1"/>
  <c r="M51" i="1"/>
  <c r="L51" i="1"/>
  <c r="N51" i="1" s="1"/>
  <c r="A51" i="1"/>
  <c r="Q50" i="1"/>
  <c r="P50" i="1"/>
  <c r="O50" i="1"/>
  <c r="D64" i="1" s="1"/>
  <c r="F64" i="1" s="1"/>
  <c r="M50" i="1"/>
  <c r="L50" i="1"/>
  <c r="A50" i="1"/>
  <c r="Q49" i="1"/>
  <c r="P49" i="1"/>
  <c r="O49" i="1"/>
  <c r="L49" i="1"/>
  <c r="A49" i="1"/>
  <c r="Q48" i="1"/>
  <c r="P48" i="1"/>
  <c r="O48" i="1"/>
  <c r="L48" i="1"/>
  <c r="A48" i="1"/>
  <c r="Q47" i="1"/>
  <c r="P47" i="1"/>
  <c r="O47" i="1"/>
  <c r="M47" i="1"/>
  <c r="L47" i="1"/>
  <c r="N47" i="1" s="1"/>
  <c r="A47" i="1"/>
  <c r="Q46" i="1"/>
  <c r="P46" i="1"/>
  <c r="O46" i="1"/>
  <c r="M46" i="1"/>
  <c r="L46" i="1"/>
  <c r="N46" i="1" s="1"/>
  <c r="A46" i="1"/>
  <c r="Q45" i="1"/>
  <c r="P45" i="1"/>
  <c r="O45" i="1"/>
  <c r="M45" i="1"/>
  <c r="L45" i="1"/>
  <c r="N45" i="1" s="1"/>
  <c r="A45" i="1"/>
  <c r="Q44" i="1"/>
  <c r="P44" i="1"/>
  <c r="O44" i="1"/>
  <c r="D63" i="1" s="1"/>
  <c r="F63" i="1" s="1"/>
  <c r="M44" i="1"/>
  <c r="L44" i="1"/>
  <c r="N44" i="1" s="1"/>
  <c r="A44" i="1"/>
  <c r="Q43" i="1"/>
  <c r="P43" i="1"/>
  <c r="O43" i="1"/>
  <c r="M43" i="1"/>
  <c r="L43" i="1"/>
  <c r="N43" i="1" s="1"/>
  <c r="A43" i="1"/>
  <c r="Q42" i="1"/>
  <c r="P42" i="1"/>
  <c r="O42" i="1"/>
  <c r="M42" i="1"/>
  <c r="L42" i="1"/>
  <c r="N42" i="1" s="1"/>
  <c r="A42" i="1"/>
  <c r="Q41" i="1"/>
  <c r="P41" i="1"/>
  <c r="O41" i="1"/>
  <c r="L41" i="1"/>
  <c r="A41" i="1"/>
  <c r="Q40" i="1"/>
  <c r="P40" i="1"/>
  <c r="O40" i="1"/>
  <c r="L40" i="1"/>
  <c r="A40" i="1"/>
  <c r="Q39" i="1"/>
  <c r="P39" i="1"/>
  <c r="O39" i="1"/>
  <c r="D62" i="1" s="1"/>
  <c r="F62" i="1" s="1"/>
  <c r="M39" i="1"/>
  <c r="L39" i="1"/>
  <c r="N39" i="1" s="1"/>
  <c r="A39" i="1"/>
  <c r="Q38" i="1"/>
  <c r="P38" i="1"/>
  <c r="O38" i="1"/>
  <c r="B8" i="13" s="1"/>
  <c r="C8" i="13" s="1"/>
  <c r="M38" i="1"/>
  <c r="L38" i="1"/>
  <c r="A38" i="1"/>
  <c r="L33" i="1"/>
  <c r="K33" i="1"/>
  <c r="L31" i="1"/>
  <c r="L30" i="1"/>
  <c r="L29" i="1"/>
  <c r="G29" i="1"/>
  <c r="K29" i="1" s="1"/>
  <c r="L26" i="1"/>
  <c r="L25" i="1"/>
  <c r="K25" i="1"/>
  <c r="Q24" i="1"/>
  <c r="L24" i="1"/>
  <c r="I20" i="1"/>
  <c r="H20" i="1"/>
  <c r="I19" i="1"/>
  <c r="H19" i="1"/>
  <c r="I18" i="1"/>
  <c r="D14" i="1"/>
  <c r="D8" i="1"/>
  <c r="K66" i="11" l="1"/>
  <c r="J66" i="11"/>
  <c r="K54" i="11"/>
  <c r="J54" i="11"/>
  <c r="K36" i="11"/>
  <c r="J36" i="11"/>
  <c r="K28" i="11"/>
  <c r="J28" i="11"/>
  <c r="K27" i="11"/>
  <c r="B19" i="13" s="1"/>
  <c r="C19" i="13" s="1"/>
  <c r="J27" i="11"/>
  <c r="F15" i="9"/>
  <c r="F14" i="9"/>
  <c r="F16" i="9"/>
  <c r="F13" i="9"/>
  <c r="E36" i="8"/>
  <c r="H36" i="8" s="1"/>
  <c r="I36" i="8" s="1"/>
  <c r="F36" i="8"/>
  <c r="G36" i="8"/>
  <c r="D36" i="8"/>
  <c r="D34" i="8"/>
  <c r="F34" i="8"/>
  <c r="G34" i="8"/>
  <c r="E34" i="8"/>
  <c r="H34" i="8" s="1"/>
  <c r="I34" i="8" s="1"/>
  <c r="G29" i="8"/>
  <c r="F29" i="8"/>
  <c r="E29" i="8"/>
  <c r="H29" i="8" s="1"/>
  <c r="I29" i="8" s="1"/>
  <c r="D29" i="8"/>
  <c r="D16" i="8"/>
  <c r="B20" i="13"/>
  <c r="C20" i="13"/>
  <c r="F17" i="6"/>
  <c r="D21" i="6"/>
  <c r="D28" i="6"/>
  <c r="D22" i="6"/>
  <c r="F15" i="6"/>
  <c r="F16" i="6"/>
  <c r="F14" i="6"/>
  <c r="D26" i="5"/>
  <c r="D28" i="5"/>
  <c r="D35" i="5"/>
  <c r="C36" i="6" s="1"/>
  <c r="D21" i="5"/>
  <c r="N26" i="2" s="1"/>
  <c r="D22" i="5"/>
  <c r="D24" i="5"/>
  <c r="D33" i="5"/>
  <c r="D34" i="5"/>
  <c r="G26" i="4"/>
  <c r="C40" i="4"/>
  <c r="G12" i="4"/>
  <c r="E52" i="3"/>
  <c r="F52" i="3"/>
  <c r="I52" i="3" s="1"/>
  <c r="G52" i="3"/>
  <c r="H52" i="3"/>
  <c r="F42" i="3"/>
  <c r="H42" i="3"/>
  <c r="I42" i="3"/>
  <c r="J42" i="3"/>
  <c r="K42" i="3"/>
  <c r="L42" i="3"/>
  <c r="L41" i="3"/>
  <c r="I41" i="3"/>
  <c r="K41" i="3"/>
  <c r="I39" i="3"/>
  <c r="J39" i="3"/>
  <c r="K39" i="3"/>
  <c r="L39" i="3"/>
  <c r="J38" i="3"/>
  <c r="K38" i="3"/>
  <c r="C15" i="10" s="1"/>
  <c r="E15" i="10" s="1"/>
  <c r="G15" i="10" s="1"/>
  <c r="H15" i="10" s="1"/>
  <c r="L38" i="3"/>
  <c r="I38" i="3"/>
  <c r="H37" i="3"/>
  <c r="D49" i="3"/>
  <c r="I37" i="3"/>
  <c r="J37" i="3"/>
  <c r="K37" i="3"/>
  <c r="C11" i="10" s="1"/>
  <c r="E11" i="10" s="1"/>
  <c r="G11" i="10" s="1"/>
  <c r="H11" i="10" s="1"/>
  <c r="L37" i="3"/>
  <c r="L36" i="3"/>
  <c r="K36" i="3"/>
  <c r="J36" i="3"/>
  <c r="I36" i="3"/>
  <c r="K35" i="3"/>
  <c r="L35" i="3"/>
  <c r="I35" i="3"/>
  <c r="J35" i="3"/>
  <c r="H34" i="3"/>
  <c r="E48" i="3" s="1"/>
  <c r="D48" i="3"/>
  <c r="K34" i="3"/>
  <c r="C10" i="10" s="1"/>
  <c r="E10" i="10" s="1"/>
  <c r="G10" i="10" s="1"/>
  <c r="H10" i="10" s="1"/>
  <c r="I34" i="3"/>
  <c r="L34" i="3"/>
  <c r="J34" i="3"/>
  <c r="K33" i="3"/>
  <c r="J33" i="3"/>
  <c r="I33" i="3"/>
  <c r="L33" i="3"/>
  <c r="L32" i="3"/>
  <c r="I32" i="3"/>
  <c r="K32" i="3"/>
  <c r="I31" i="3"/>
  <c r="K31" i="3"/>
  <c r="L31" i="3"/>
  <c r="L30" i="3"/>
  <c r="K30" i="3"/>
  <c r="C14" i="10" s="1"/>
  <c r="E14" i="10" s="1"/>
  <c r="G14" i="10" s="1"/>
  <c r="H14" i="10" s="1"/>
  <c r="I30" i="3"/>
  <c r="I29" i="3"/>
  <c r="L29" i="3"/>
  <c r="K29" i="3"/>
  <c r="L28" i="3"/>
  <c r="J28" i="3"/>
  <c r="I28" i="3"/>
  <c r="K28" i="3"/>
  <c r="J27" i="3"/>
  <c r="I27" i="3"/>
  <c r="L27" i="3"/>
  <c r="K27" i="3"/>
  <c r="H26" i="3"/>
  <c r="K26" i="3"/>
  <c r="G43" i="3"/>
  <c r="B54" i="3" s="1"/>
  <c r="C54" i="3" s="1"/>
  <c r="D47" i="3"/>
  <c r="R25" i="2"/>
  <c r="M56" i="1"/>
  <c r="N56" i="1" s="1"/>
  <c r="E65" i="1" s="1"/>
  <c r="S25" i="2"/>
  <c r="R24" i="2"/>
  <c r="D33" i="4"/>
  <c r="F33" i="4" s="1"/>
  <c r="G33" i="4" s="1"/>
  <c r="M57" i="1"/>
  <c r="N57" i="1" s="1"/>
  <c r="S24" i="2"/>
  <c r="R23" i="2"/>
  <c r="S23" i="2"/>
  <c r="D20" i="4"/>
  <c r="F20" i="4" s="1"/>
  <c r="G20" i="4" s="1"/>
  <c r="D21" i="4"/>
  <c r="F21" i="4" s="1"/>
  <c r="G21" i="4" s="1"/>
  <c r="D31" i="4"/>
  <c r="F31" i="4" s="1"/>
  <c r="D32" i="4"/>
  <c r="F32" i="4" s="1"/>
  <c r="G32" i="4" s="1"/>
  <c r="S22" i="2"/>
  <c r="S21" i="2"/>
  <c r="S20" i="2"/>
  <c r="S19" i="2"/>
  <c r="R18" i="2"/>
  <c r="M53" i="1"/>
  <c r="S18" i="2"/>
  <c r="L53" i="1"/>
  <c r="N53" i="1" s="1"/>
  <c r="S17" i="2"/>
  <c r="R16" i="2"/>
  <c r="M41" i="1"/>
  <c r="N41" i="1" s="1"/>
  <c r="S16" i="2"/>
  <c r="R15" i="2"/>
  <c r="D15" i="4"/>
  <c r="F15" i="4" s="1"/>
  <c r="G15" i="4" s="1"/>
  <c r="D16" i="4"/>
  <c r="F16" i="4" s="1"/>
  <c r="G16" i="4" s="1"/>
  <c r="M40" i="1"/>
  <c r="N40" i="1" s="1"/>
  <c r="S15" i="2"/>
  <c r="R14" i="2"/>
  <c r="D14" i="4"/>
  <c r="F14" i="4" s="1"/>
  <c r="G14" i="4" s="1"/>
  <c r="D13" i="4"/>
  <c r="F13" i="4" s="1"/>
  <c r="G13" i="4" s="1"/>
  <c r="S14" i="2"/>
  <c r="J122" i="1"/>
  <c r="N122" i="1"/>
  <c r="D41" i="4"/>
  <c r="F128" i="1"/>
  <c r="G128" i="1" s="1"/>
  <c r="J115" i="1"/>
  <c r="N115" i="1"/>
  <c r="D40" i="4"/>
  <c r="F127" i="1"/>
  <c r="G127" i="1" s="1"/>
  <c r="N112" i="1"/>
  <c r="J112" i="1"/>
  <c r="N111" i="1"/>
  <c r="J111" i="1"/>
  <c r="N102" i="1"/>
  <c r="J102" i="1"/>
  <c r="L102" i="1" s="1"/>
  <c r="K103" i="1" s="1"/>
  <c r="C50" i="5"/>
  <c r="B58" i="5" s="1"/>
  <c r="D58" i="5" s="1"/>
  <c r="E58" i="5" s="1"/>
  <c r="N50" i="1"/>
  <c r="E64" i="1" s="1"/>
  <c r="C46" i="5"/>
  <c r="B57" i="5" s="1"/>
  <c r="D57" i="5" s="1"/>
  <c r="E57" i="5" s="1"/>
  <c r="R29" i="1"/>
  <c r="Q29" i="1"/>
  <c r="R28" i="1"/>
  <c r="R27" i="1"/>
  <c r="Q27" i="1"/>
  <c r="R26" i="1"/>
  <c r="Q26" i="1"/>
  <c r="R25" i="1"/>
  <c r="Q25" i="1"/>
  <c r="R24" i="1"/>
  <c r="Q28" i="1"/>
  <c r="R34" i="1"/>
  <c r="Q34" i="1"/>
  <c r="R33" i="1"/>
  <c r="Q33" i="1"/>
  <c r="R32" i="1"/>
  <c r="Q32" i="1"/>
  <c r="R31" i="1"/>
  <c r="Q31" i="1"/>
  <c r="R30" i="1"/>
  <c r="Q30" i="1"/>
  <c r="N38" i="1"/>
  <c r="E62" i="1" s="1"/>
  <c r="C41" i="5"/>
  <c r="F25" i="2"/>
  <c r="M25" i="2" s="1"/>
  <c r="F22" i="7"/>
  <c r="F24" i="2"/>
  <c r="M24" i="2" s="1"/>
  <c r="C37" i="8"/>
  <c r="N33" i="1"/>
  <c r="N29" i="1"/>
  <c r="F26" i="2"/>
  <c r="M26" i="2" s="1"/>
  <c r="C32" i="8"/>
  <c r="F16" i="2"/>
  <c r="M16" i="2" s="1"/>
  <c r="F15" i="2"/>
  <c r="M15" i="2" s="1"/>
  <c r="F21" i="7"/>
  <c r="N25" i="1"/>
  <c r="K20" i="1"/>
  <c r="M20" i="1" s="1"/>
  <c r="J20" i="1"/>
  <c r="J19" i="1"/>
  <c r="K19" i="1"/>
  <c r="M19" i="1" s="1"/>
  <c r="J18" i="1"/>
  <c r="K18" i="1"/>
  <c r="C40" i="6"/>
  <c r="D128" i="1"/>
  <c r="C33" i="6"/>
  <c r="D127" i="1"/>
  <c r="D126" i="1"/>
  <c r="D45" i="12"/>
  <c r="G15" i="9" l="1"/>
  <c r="H15" i="9"/>
  <c r="I113" i="1"/>
  <c r="O26" i="2"/>
  <c r="P26" i="2" s="1"/>
  <c r="C40" i="5"/>
  <c r="B56" i="5" s="1"/>
  <c r="D56" i="5" s="1"/>
  <c r="E56" i="5" s="1"/>
  <c r="B21" i="13"/>
  <c r="J52" i="3"/>
  <c r="K52" i="3"/>
  <c r="L26" i="3"/>
  <c r="L43" i="3" s="1"/>
  <c r="E47" i="3"/>
  <c r="H43" i="3"/>
  <c r="K43" i="3"/>
  <c r="C9" i="10"/>
  <c r="E9" i="10" s="1"/>
  <c r="G9" i="10" s="1"/>
  <c r="H9" i="10" s="1"/>
  <c r="E54" i="3"/>
  <c r="C12" i="10" s="1"/>
  <c r="E12" i="10" s="1"/>
  <c r="G12" i="10" s="1"/>
  <c r="H12" i="10" s="1"/>
  <c r="F54" i="3"/>
  <c r="G54" i="3"/>
  <c r="H54" i="3"/>
  <c r="C37" i="6"/>
  <c r="F113" i="1"/>
  <c r="P25" i="2"/>
  <c r="Q25" i="2" s="1"/>
  <c r="F121" i="1"/>
  <c r="C44" i="6"/>
  <c r="P24" i="2"/>
  <c r="F120" i="1"/>
  <c r="G31" i="4"/>
  <c r="P16" i="2"/>
  <c r="Q16" i="2" s="1"/>
  <c r="F105" i="1"/>
  <c r="P15" i="2"/>
  <c r="F104" i="1"/>
  <c r="J128" i="1"/>
  <c r="I128" i="1"/>
  <c r="K128" i="1"/>
  <c r="J127" i="1"/>
  <c r="I127" i="1"/>
  <c r="K127" i="1"/>
  <c r="I22" i="7"/>
  <c r="H22" i="7"/>
  <c r="F37" i="8"/>
  <c r="D37" i="8"/>
  <c r="E37" i="8"/>
  <c r="H37" i="8" s="1"/>
  <c r="I37" i="8" s="1"/>
  <c r="G37" i="8"/>
  <c r="D32" i="8"/>
  <c r="E32" i="8"/>
  <c r="F32" i="8"/>
  <c r="G32" i="8"/>
  <c r="I21" i="7"/>
  <c r="H21" i="7"/>
  <c r="Q20" i="1"/>
  <c r="G33" i="1"/>
  <c r="G34" i="1"/>
  <c r="L20" i="1"/>
  <c r="M26" i="1"/>
  <c r="G30" i="1"/>
  <c r="M30" i="1"/>
  <c r="G31" i="1"/>
  <c r="K31" i="1" s="1"/>
  <c r="G32" i="1"/>
  <c r="L19" i="1"/>
  <c r="Q19" i="1"/>
  <c r="Q18" i="1"/>
  <c r="G24" i="1"/>
  <c r="K24" i="1" s="1"/>
  <c r="L18" i="1"/>
  <c r="G25" i="1"/>
  <c r="G28" i="1"/>
  <c r="M18" i="1"/>
  <c r="G26" i="1"/>
  <c r="K26" i="1" s="1"/>
  <c r="G27" i="1"/>
  <c r="E40" i="4"/>
  <c r="E49" i="3"/>
  <c r="I43" i="3"/>
  <c r="B127" i="1" l="1"/>
  <c r="B126" i="1"/>
  <c r="B128" i="1"/>
  <c r="M113" i="1"/>
  <c r="S26" i="2"/>
  <c r="R26" i="2"/>
  <c r="D23" i="4"/>
  <c r="F23" i="4" s="1"/>
  <c r="M48" i="1"/>
  <c r="N48" i="1" s="1"/>
  <c r="E63" i="1" s="1"/>
  <c r="M49" i="1"/>
  <c r="N49" i="1" s="1"/>
  <c r="B55" i="3"/>
  <c r="C55" i="3" s="1"/>
  <c r="B58" i="3"/>
  <c r="D58" i="3" s="1"/>
  <c r="E58" i="3" s="1"/>
  <c r="I54" i="3"/>
  <c r="C13" i="10" s="1"/>
  <c r="E13" i="10" s="1"/>
  <c r="G13" i="10" s="1"/>
  <c r="H13" i="10" s="1"/>
  <c r="B14" i="9"/>
  <c r="J54" i="3"/>
  <c r="K54" i="3"/>
  <c r="Q26" i="2"/>
  <c r="C38" i="2"/>
  <c r="D38" i="2" s="1"/>
  <c r="J113" i="1"/>
  <c r="N113" i="1"/>
  <c r="J121" i="1"/>
  <c r="N121" i="1"/>
  <c r="Q24" i="2"/>
  <c r="C37" i="2"/>
  <c r="D37" i="2" s="1"/>
  <c r="J120" i="1"/>
  <c r="N120" i="1"/>
  <c r="J105" i="1"/>
  <c r="N105" i="1"/>
  <c r="Q15" i="2"/>
  <c r="C31" i="2"/>
  <c r="D31" i="2" s="1"/>
  <c r="J104" i="1"/>
  <c r="N104" i="1"/>
  <c r="K34" i="1"/>
  <c r="M34" i="1"/>
  <c r="D98" i="1"/>
  <c r="D96" i="1"/>
  <c r="D97" i="1"/>
  <c r="N31" i="1"/>
  <c r="F18" i="2"/>
  <c r="M18" i="2" s="1"/>
  <c r="G9" i="7"/>
  <c r="H9" i="7" s="1"/>
  <c r="K9" i="7" s="1"/>
  <c r="L9" i="7" s="1"/>
  <c r="G17" i="7"/>
  <c r="H17" i="7" s="1"/>
  <c r="I17" i="7" s="1"/>
  <c r="C35" i="8"/>
  <c r="K32" i="1"/>
  <c r="M32" i="1"/>
  <c r="D94" i="1"/>
  <c r="D95" i="1"/>
  <c r="G7" i="7"/>
  <c r="H7" i="7" s="1"/>
  <c r="K7" i="7" s="1"/>
  <c r="L7" i="7" s="1"/>
  <c r="G15" i="7"/>
  <c r="H15" i="7" s="1"/>
  <c r="I15" i="7" s="1"/>
  <c r="C30" i="8"/>
  <c r="F14" i="2"/>
  <c r="M14" i="2" s="1"/>
  <c r="N24" i="1"/>
  <c r="D91" i="1"/>
  <c r="D92" i="1"/>
  <c r="D93" i="1"/>
  <c r="K28" i="1"/>
  <c r="M28" i="1"/>
  <c r="N26" i="1"/>
  <c r="K30" i="1"/>
  <c r="N30" i="1" s="1"/>
  <c r="F17" i="2"/>
  <c r="M17" i="2" s="1"/>
  <c r="G8" i="7"/>
  <c r="H8" i="7" s="1"/>
  <c r="K8" i="7" s="1"/>
  <c r="L8" i="7" s="1"/>
  <c r="G16" i="7"/>
  <c r="H16" i="7" s="1"/>
  <c r="I16" i="7" s="1"/>
  <c r="C31" i="8"/>
  <c r="K27" i="1"/>
  <c r="M27" i="1"/>
  <c r="B12" i="13"/>
  <c r="C12" i="13" s="1"/>
  <c r="I40" i="4"/>
  <c r="H40" i="4"/>
  <c r="G40" i="4"/>
  <c r="H32" i="8"/>
  <c r="I32" i="8" s="1"/>
  <c r="B14" i="13" l="1"/>
  <c r="C14" i="13" s="1"/>
  <c r="D39" i="4"/>
  <c r="F126" i="1"/>
  <c r="G126" i="1" s="1"/>
  <c r="C39" i="4"/>
  <c r="G23" i="4"/>
  <c r="E55" i="3"/>
  <c r="F55" i="3"/>
  <c r="G55" i="3"/>
  <c r="H55" i="3"/>
  <c r="E14" i="9"/>
  <c r="G14" i="9" s="1"/>
  <c r="H14" i="9"/>
  <c r="J38" i="2"/>
  <c r="F38" i="2"/>
  <c r="F29" i="3"/>
  <c r="F32" i="3"/>
  <c r="J32" i="3" s="1"/>
  <c r="J37" i="2"/>
  <c r="F37" i="2"/>
  <c r="F41" i="3"/>
  <c r="J41" i="3" s="1"/>
  <c r="J31" i="2"/>
  <c r="F31" i="2"/>
  <c r="F31" i="3"/>
  <c r="J31" i="3" s="1"/>
  <c r="L34" i="1"/>
  <c r="N34" i="1"/>
  <c r="F22" i="2"/>
  <c r="M22" i="2" s="1"/>
  <c r="G37" i="2" s="1"/>
  <c r="F23" i="2"/>
  <c r="M23" i="2" s="1"/>
  <c r="H17" i="6"/>
  <c r="C38" i="8"/>
  <c r="F98" i="1"/>
  <c r="G98" i="1"/>
  <c r="F96" i="1"/>
  <c r="F97" i="1"/>
  <c r="L97" i="1" s="1"/>
  <c r="G97" i="1"/>
  <c r="C39" i="6"/>
  <c r="B49" i="6" s="1"/>
  <c r="D49" i="6" s="1"/>
  <c r="F114" i="1"/>
  <c r="P18" i="2"/>
  <c r="D35" i="8"/>
  <c r="E35" i="8"/>
  <c r="F35" i="8"/>
  <c r="G35" i="8"/>
  <c r="L32" i="1"/>
  <c r="N32" i="1"/>
  <c r="F20" i="2"/>
  <c r="M20" i="2" s="1"/>
  <c r="H15" i="6"/>
  <c r="F94" i="1"/>
  <c r="L94" i="1" s="1"/>
  <c r="G94" i="1"/>
  <c r="F95" i="1"/>
  <c r="G95" i="1"/>
  <c r="D30" i="8"/>
  <c r="E30" i="8"/>
  <c r="F30" i="8"/>
  <c r="G30" i="8"/>
  <c r="F103" i="1"/>
  <c r="C34" i="6"/>
  <c r="B48" i="6" s="1"/>
  <c r="D48" i="6" s="1"/>
  <c r="G35" i="2"/>
  <c r="G31" i="2"/>
  <c r="I31" i="2" s="1"/>
  <c r="G30" i="2"/>
  <c r="G36" i="2"/>
  <c r="I36" i="2" s="1"/>
  <c r="G34" i="2"/>
  <c r="G33" i="2"/>
  <c r="I33" i="2" s="1"/>
  <c r="G32" i="2"/>
  <c r="I32" i="2" s="1"/>
  <c r="P14" i="2"/>
  <c r="F91" i="1"/>
  <c r="G91" i="1"/>
  <c r="F92" i="1"/>
  <c r="L92" i="1" s="1"/>
  <c r="G92" i="1"/>
  <c r="F93" i="1"/>
  <c r="L28" i="1"/>
  <c r="N28" i="1"/>
  <c r="B9" i="13" s="1"/>
  <c r="C9" i="13" s="1"/>
  <c r="F19" i="2"/>
  <c r="M19" i="2" s="1"/>
  <c r="G38" i="2" s="1"/>
  <c r="G10" i="7"/>
  <c r="H10" i="7" s="1"/>
  <c r="K10" i="7" s="1"/>
  <c r="L10" i="7" s="1"/>
  <c r="H14" i="6"/>
  <c r="F106" i="1"/>
  <c r="C41" i="6"/>
  <c r="F116" i="1"/>
  <c r="P17" i="2"/>
  <c r="D31" i="8"/>
  <c r="E31" i="8"/>
  <c r="F31" i="8"/>
  <c r="G31" i="8"/>
  <c r="D25" i="6"/>
  <c r="L27" i="1"/>
  <c r="N27" i="1"/>
  <c r="F21" i="2"/>
  <c r="M21" i="2" s="1"/>
  <c r="G11" i="7"/>
  <c r="H11" i="7" s="1"/>
  <c r="K11" i="7" s="1"/>
  <c r="L11" i="7" s="1"/>
  <c r="H16" i="6"/>
  <c r="K126" i="1" l="1"/>
  <c r="J126" i="1"/>
  <c r="I126" i="1"/>
  <c r="I55" i="3"/>
  <c r="B59" i="3"/>
  <c r="D59" i="3" s="1"/>
  <c r="E59" i="3" s="1"/>
  <c r="J55" i="3"/>
  <c r="K55" i="3"/>
  <c r="J29" i="3"/>
  <c r="E16" i="6"/>
  <c r="D17" i="6"/>
  <c r="I17" i="6" s="1"/>
  <c r="K17" i="6" s="1"/>
  <c r="L17" i="6" s="1"/>
  <c r="F109" i="1"/>
  <c r="F119" i="1"/>
  <c r="P22" i="2"/>
  <c r="Q22" i="2" s="1"/>
  <c r="C45" i="6"/>
  <c r="B50" i="6" s="1"/>
  <c r="D50" i="6" s="1"/>
  <c r="F110" i="1"/>
  <c r="F123" i="1"/>
  <c r="P23" i="2"/>
  <c r="Q23" i="2" s="1"/>
  <c r="G38" i="8"/>
  <c r="D38" i="8"/>
  <c r="E38" i="8"/>
  <c r="H38" i="8" s="1"/>
  <c r="I38" i="8" s="1"/>
  <c r="F38" i="8"/>
  <c r="H98" i="1"/>
  <c r="I98" i="1"/>
  <c r="I97" i="1"/>
  <c r="J97" i="1"/>
  <c r="J114" i="1"/>
  <c r="L114" i="1" s="1"/>
  <c r="K115" i="1" s="1"/>
  <c r="L115" i="1" s="1"/>
  <c r="K116" i="1" s="1"/>
  <c r="N114" i="1"/>
  <c r="Q18" i="2"/>
  <c r="C36" i="2"/>
  <c r="D36" i="2" s="1"/>
  <c r="E14" i="6"/>
  <c r="D15" i="6"/>
  <c r="F117" i="1"/>
  <c r="P20" i="2"/>
  <c r="D24" i="6"/>
  <c r="I94" i="1"/>
  <c r="J94" i="1"/>
  <c r="H95" i="1"/>
  <c r="I95" i="1"/>
  <c r="J103" i="1"/>
  <c r="L103" i="1" s="1"/>
  <c r="K104" i="1" s="1"/>
  <c r="L104" i="1" s="1"/>
  <c r="K105" i="1" s="1"/>
  <c r="L105" i="1" s="1"/>
  <c r="K106" i="1" s="1"/>
  <c r="L106" i="1" s="1"/>
  <c r="K107" i="1" s="1"/>
  <c r="N103" i="1"/>
  <c r="C128" i="1"/>
  <c r="E128" i="1" s="1"/>
  <c r="I30" i="2"/>
  <c r="C126" i="1"/>
  <c r="I34" i="2"/>
  <c r="C127" i="1"/>
  <c r="E127" i="1" s="1"/>
  <c r="Q14" i="2"/>
  <c r="C30" i="2"/>
  <c r="D30" i="2" s="1"/>
  <c r="H91" i="1"/>
  <c r="I91" i="1"/>
  <c r="I92" i="1"/>
  <c r="J92" i="1"/>
  <c r="D14" i="6"/>
  <c r="I14" i="6" s="1"/>
  <c r="K14" i="6" s="1"/>
  <c r="L14" i="6" s="1"/>
  <c r="E15" i="6"/>
  <c r="F107" i="1"/>
  <c r="P19" i="2"/>
  <c r="J106" i="1"/>
  <c r="N106" i="1"/>
  <c r="J116" i="1"/>
  <c r="N116" i="1"/>
  <c r="Q17" i="2"/>
  <c r="C32" i="2"/>
  <c r="D32" i="2" s="1"/>
  <c r="D16" i="6"/>
  <c r="E17" i="6"/>
  <c r="F108" i="1"/>
  <c r="F118" i="1"/>
  <c r="P21" i="2"/>
  <c r="H35" i="8"/>
  <c r="I35" i="8" s="1"/>
  <c r="H30" i="8"/>
  <c r="I30" i="8" s="1"/>
  <c r="H31" i="8"/>
  <c r="I31" i="8" s="1"/>
  <c r="E39" i="4"/>
  <c r="L96" i="1"/>
  <c r="G96" i="1"/>
  <c r="L93" i="1"/>
  <c r="G93" i="1"/>
  <c r="J109" i="1" l="1"/>
  <c r="N109" i="1"/>
  <c r="J119" i="1"/>
  <c r="N119" i="1"/>
  <c r="J110" i="1"/>
  <c r="N110" i="1"/>
  <c r="J123" i="1"/>
  <c r="N123" i="1"/>
  <c r="J98" i="1"/>
  <c r="L98" i="1"/>
  <c r="J36" i="2"/>
  <c r="F36" i="2"/>
  <c r="J117" i="1"/>
  <c r="N117" i="1"/>
  <c r="Q20" i="2"/>
  <c r="C34" i="2"/>
  <c r="D34" i="2" s="1"/>
  <c r="J95" i="1"/>
  <c r="L95" i="1"/>
  <c r="E126" i="1"/>
  <c r="B15" i="13"/>
  <c r="C15" i="13" s="1"/>
  <c r="J30" i="2"/>
  <c r="F30" i="2"/>
  <c r="J91" i="1"/>
  <c r="L91" i="1"/>
  <c r="J107" i="1"/>
  <c r="L107" i="1" s="1"/>
  <c r="K108" i="1" s="1"/>
  <c r="N107" i="1"/>
  <c r="Q19" i="2"/>
  <c r="C33" i="2"/>
  <c r="D33" i="2" s="1"/>
  <c r="B10" i="13" s="1"/>
  <c r="C10" i="13" s="1"/>
  <c r="J32" i="2"/>
  <c r="F32" i="2"/>
  <c r="J108" i="1"/>
  <c r="N108" i="1"/>
  <c r="J118" i="1"/>
  <c r="L118" i="1" s="1"/>
  <c r="K119" i="1" s="1"/>
  <c r="L119" i="1" s="1"/>
  <c r="K120" i="1" s="1"/>
  <c r="L120" i="1" s="1"/>
  <c r="K121" i="1" s="1"/>
  <c r="L121" i="1" s="1"/>
  <c r="K122" i="1" s="1"/>
  <c r="L122" i="1" s="1"/>
  <c r="K123" i="1" s="1"/>
  <c r="L123" i="1" s="1"/>
  <c r="N118" i="1"/>
  <c r="Q21" i="2"/>
  <c r="C35" i="2"/>
  <c r="H39" i="4"/>
  <c r="I39" i="4"/>
  <c r="G39" i="4"/>
  <c r="B11" i="13"/>
  <c r="C11" i="13" s="1"/>
  <c r="D27" i="6"/>
  <c r="J96" i="1"/>
  <c r="I96" i="1"/>
  <c r="D34" i="4" s="1"/>
  <c r="F34" i="4" s="1"/>
  <c r="J93" i="1"/>
  <c r="I93" i="1"/>
  <c r="L116" i="1"/>
  <c r="K117" i="1" s="1"/>
  <c r="L117" i="1" s="1"/>
  <c r="I15" i="6"/>
  <c r="K15" i="6" s="1"/>
  <c r="L15" i="6" s="1"/>
  <c r="I16" i="6"/>
  <c r="K16" i="6" s="1"/>
  <c r="L16" i="6" s="1"/>
  <c r="J34" i="2" l="1"/>
  <c r="F34" i="2"/>
  <c r="J33" i="2"/>
  <c r="F33" i="2"/>
  <c r="F35" i="2"/>
  <c r="F30" i="3"/>
  <c r="F40" i="3"/>
  <c r="C41" i="4"/>
  <c r="E41" i="4" s="1"/>
  <c r="G34" i="4"/>
  <c r="L108" i="1"/>
  <c r="K109" i="1" s="1"/>
  <c r="L109" i="1" s="1"/>
  <c r="K110" i="1" s="1"/>
  <c r="L110" i="1" s="1"/>
  <c r="K111" i="1" s="1"/>
  <c r="L111" i="1" s="1"/>
  <c r="K112" i="1" s="1"/>
  <c r="L112" i="1" s="1"/>
  <c r="K113" i="1" s="1"/>
  <c r="L113" i="1" s="1"/>
  <c r="F43" i="3" l="1"/>
  <c r="C47" i="3"/>
  <c r="J30" i="3"/>
  <c r="C49" i="3"/>
  <c r="J40" i="3"/>
  <c r="B13" i="13"/>
  <c r="C13" i="13" s="1"/>
  <c r="G41" i="4"/>
  <c r="H41" i="4"/>
  <c r="I41" i="4"/>
  <c r="B16" i="9" l="1"/>
  <c r="B53" i="3"/>
  <c r="C53" i="3" s="1"/>
  <c r="B16" i="13"/>
  <c r="J43" i="3"/>
  <c r="E16" i="9" l="1"/>
  <c r="G16" i="9" s="1"/>
  <c r="H16" i="9"/>
  <c r="E53" i="3"/>
  <c r="F53" i="3"/>
  <c r="G53" i="3"/>
  <c r="H53" i="3"/>
  <c r="I53" i="3" l="1"/>
  <c r="B13" i="9"/>
  <c r="J53" i="3"/>
  <c r="K53" i="3"/>
  <c r="B17" i="13"/>
  <c r="B18" i="13"/>
  <c r="E13" i="9" l="1"/>
  <c r="G13" i="9" s="1"/>
  <c r="H13" i="9"/>
</calcChain>
</file>

<file path=xl/sharedStrings.xml><?xml version="1.0" encoding="utf-8"?>
<sst xmlns="http://schemas.openxmlformats.org/spreadsheetml/2006/main" count="2394" uniqueCount="1309">
  <si>
    <t>CTRL-F Payload 2026 · Software timing budget</t>
  </si>
  <si>
    <t>Board 1 STM32F405 (LSM6DSL, MMC5983MA, microSD, RS-485) · Board 2 STM32G071 (BMI323, stacked) · Board 3 STM32G071 (MAX-M10S GPS, RS-485). Peripheral/pin assignments taken from the three .ioc files; change a cell here and every rate, DMA check and timeline downstream recomputes.</t>
  </si>
  <si>
    <t>Legend: blue text = input you edit · yellow fill = key lever · black = formula · green = pulled from another sheet · status cells turn red/amber when a limit is broken.</t>
  </si>
  <si>
    <t>1 · Global loop inputs</t>
  </si>
  <si>
    <t>Target loop rate</t>
  </si>
  <si>
    <t>Hz</t>
  </si>
  <si>
    <t>Requirement: ≥100 Hz minimum, 1 kHz target (one sample + analysis per sensor per cycle). Every per-cycle number scales from this.</t>
  </si>
  <si>
    <t>Minimum loop rate</t>
  </si>
  <si>
    <t>Stated requirement floor.</t>
  </si>
  <si>
    <t>Loop period</t>
  </si>
  <si>
    <t>µs</t>
  </si>
  <si>
    <t>Time available per cycle.</t>
  </si>
  <si>
    <t>Max bus utilization allowed</t>
  </si>
  <si>
    <t>Headroom for retries, jitter and growth. Buses above this turn red on Interface_Data_Rates.</t>
  </si>
  <si>
    <t>Max CPU utilization allowed</t>
  </si>
  <si>
    <t>Leave ≥30% for ISR jitter, logging stalls and future code.</t>
  </si>
  <si>
    <t>Magnetometer ODR (MMC5983MA)</t>
  </si>
  <si>
    <t>1 kHz needs continuous mode with BW=11 (0.5 ms measurement). BW=00 is ~8 ms → ≤100 Hz.</t>
  </si>
  <si>
    <t>GPS navigation rate (MAX-M10S)</t>
  </si>
  <si>
    <t>Default config (GPS+GAL+BDS B1I) is 3 Hz max; GPS+GAL allows 10 Hz; single-GNSS 18 Hz (MAX-M10S datasheet Tables 2–3).</t>
  </si>
  <si>
    <t>SDIO kernel clock (PLL Q)</t>
  </si>
  <si>
    <t>MHz</t>
  </si>
  <si>
    <t>F405: PLLM 16, PLLN 192, PLLQ 4 from the 16 MHz HSE (as set in the fixed .ioc).</t>
  </si>
  <si>
    <t>Loop target meets minimum?</t>
  </si>
  <si>
    <t>2 · Clock tree per MCU (edit SYSCLK and dividers; all bus/timer clocks follow)</t>
  </si>
  <si>
    <t>Board</t>
  </si>
  <si>
    <t>MCU</t>
  </si>
  <si>
    <t>Clock source</t>
  </si>
  <si>
    <t>HSE (MHz)</t>
  </si>
  <si>
    <t>SYSCLK (MHz)</t>
  </si>
  <si>
    <t>AHB ÷</t>
  </si>
  <si>
    <t>APB1 ÷</t>
  </si>
  <si>
    <t>APB2 ÷</t>
  </si>
  <si>
    <t>HCLK (MHz)</t>
  </si>
  <si>
    <t>PCLK1 (MHz)</t>
  </si>
  <si>
    <t>PCLK2 (MHz)</t>
  </si>
  <si>
    <t>TIMCLK1 (MHz)</t>
  </si>
  <si>
    <t>TIMCLK2 (MHz)</t>
  </si>
  <si>
    <t>SYSCLK max</t>
  </si>
  <si>
    <t>APB1 max</t>
  </si>
  <si>
    <t>APB2 max</t>
  </si>
  <si>
    <t>Status</t>
  </si>
  <si>
    <t>Notes</t>
  </si>
  <si>
    <t>B1</t>
  </si>
  <si>
    <t>STM32F405RG</t>
  </si>
  <si>
    <t>HSE 16 MHz xtal</t>
  </si>
  <si>
    <t>As built: SYSCLK = HSE 16 MHz (PLL only feeds SDIO 48 MHz). For 168 MHz set SYSCLK 168, APB1 ÷4, APB2 ÷2 (PLLM16 N336 P2 Q7), then re-check SPI2 prescaler (LSM6DSL ≤10 MHz) below.</t>
  </si>
  <si>
    <t>B2</t>
  </si>
  <si>
    <t>STM32G071CB</t>
  </si>
  <si>
    <t>G0 has a single APB: APB2 column mirrors APB1. 64 MHz possible via PLL (M1 N8 R2 from 16 MHz).</t>
  </si>
  <si>
    <t>B3</t>
  </si>
  <si>
    <t>Fixed .ioc sets HSE crystal mode (PF0+PF1).</t>
  </si>
  <si>
    <t>3 · Peripheral allocation: which component uses which SPIx / I2Cx / UARTx / DMA / IRQ (edit Clock domain, Setting, Max)</t>
  </si>
  <si>
    <t>ID</t>
  </si>
  <si>
    <t>Component</t>
  </si>
  <si>
    <t>Function</t>
  </si>
  <si>
    <t>Peripheral</t>
  </si>
  <si>
    <t>Clock domain</t>
  </si>
  <si>
    <t>Kernel clk (MHz)</t>
  </si>
  <si>
    <t>Mode</t>
  </si>
  <si>
    <t>Setting type</t>
  </si>
  <si>
    <t>Setting</t>
  </si>
  <si>
    <t>Bit clock / baud (Hz)</t>
  </si>
  <si>
    <t>Baud error</t>
  </si>
  <si>
    <t>Max allowed (Hz)</t>
  </si>
  <si>
    <t>Data pins</t>
  </si>
  <si>
    <t>Control / IRQ pins</t>
  </si>
  <si>
    <t>DMA RX (from §4)</t>
  </si>
  <si>
    <t>DMA TX (from §4)</t>
  </si>
  <si>
    <t>IRQ handlers</t>
  </si>
  <si>
    <t>NVIC prio</t>
  </si>
  <si>
    <t>B1-SPI2</t>
  </si>
  <si>
    <t>U2 LSM6DSL</t>
  </si>
  <si>
    <t>6-axis IMU</t>
  </si>
  <si>
    <t>SPI2</t>
  </si>
  <si>
    <t>APB1</t>
  </si>
  <si>
    <t>Master, mode 3</t>
  </si>
  <si>
    <t>Prescaler</t>
  </si>
  <si>
    <t>PB13 SCK, PB14 MISO, PB15 MOSI</t>
  </si>
  <si>
    <t>CS PB12 · INT1 PC6 (EXTI6) · INT2 PC7</t>
  </si>
  <si>
    <t>DMA1_Stream3, EXTI9_5, SPI2 (err)</t>
  </si>
  <si>
    <t>.ioc: 8 Mbit/s. LSM6DSL fSCK max 10 MHz. At 168 MHz (APB1 42 MHz) use prescaler 8 → 5.25 MHz.</t>
  </si>
  <si>
    <t>B1-I2C1</t>
  </si>
  <si>
    <t>U3 MMC5983MA</t>
  </si>
  <si>
    <t>Magnetometer</t>
  </si>
  <si>
    <t>I2C1</t>
  </si>
  <si>
    <t>Master, Fast-mode</t>
  </si>
  <si>
    <t>SCL</t>
  </si>
  <si>
    <t>PB8 SCL, PB9 SDA (R6/R7 2.7k)</t>
  </si>
  <si>
    <t>MAG_INT PC13 (EXTI13)</t>
  </si>
  <si>
    <t>I2C1_EV, I2C1_ER, DMA1_Stream0/6, EXTI15_10</t>
  </si>
  <si>
    <t>.ioc still I2C_Standard (100 kHz): change to Fast 400 kHz. F4 I2C needs PCLK1 ≥ 4 MHz for Fast-mode. Address 0x30.</t>
  </si>
  <si>
    <t>B1-SPI1</t>
  </si>
  <si>
    <t>Stack J10/J11 → B2 U7</t>
  </si>
  <si>
    <t>Inter-board SPI</t>
  </si>
  <si>
    <t>SPI1</t>
  </si>
  <si>
    <t>APB2</t>
  </si>
  <si>
    <t>Master, mode 0</t>
  </si>
  <si>
    <t>PA5 SCK, PA6 MISO, PA7 MOSI</t>
  </si>
  <si>
    <t>CS PB1 (GPIO) · B2_INT PC4 (EXTI4)</t>
  </si>
  <si>
    <t>DMA2_Stream0/5, EXTI4</t>
  </si>
  <si>
    <t>Max = min(8 MHz SI ceiling for the ~37 mm stack path, B2 PCLK/4 conservative slave limit). Fixed .ioc: prescaler 8 → 2 Mbit/s, medium slew.</t>
  </si>
  <si>
    <t>B1-USART1</t>
  </si>
  <si>
    <t>U5 SP3485 → cable → B3</t>
  </si>
  <si>
    <t>RS-485 half-duplex</t>
  </si>
  <si>
    <t>USART1</t>
  </si>
  <si>
    <t>Async 8N1, DE by GPIO</t>
  </si>
  <si>
    <t>Baud</t>
  </si>
  <si>
    <t>PB6 TX, PB7 RX</t>
  </si>
  <si>
    <t>DE/RE PB5 (RS485_MODE_SW)</t>
  </si>
  <si>
    <t>USART1 (IDLE, TC), DMA2_Stream2/7</t>
  </si>
  <si>
    <t>F4 USART has no hardware DE: release DE in the TC interrupt (not on DMA-complete, which fires ~1 char early). Max = min(SP3485 10 Mbps, fPCLK/16).</t>
  </si>
  <si>
    <t>B1-UART4</t>
  </si>
  <si>
    <t>Stack J10 pins 5/6 → B2 USART3</t>
  </si>
  <si>
    <t>Inter-board UART</t>
  </si>
  <si>
    <t>UART4</t>
  </si>
  <si>
    <t>Async 8N1</t>
  </si>
  <si>
    <t>PA0 TX, PA1 RX (net pcMCU_TX/RX)</t>
  </si>
  <si>
    <t>—</t>
  </si>
  <si>
    <t>UART4, DMA1_Stream2/4</t>
  </si>
  <si>
    <t>Netlist: PA0 → J10.5 → J9.5 → B2 PB8, i.e. TX→TX; works only because B2 USART3 has TX/RX swap enabled. UART4_TX DMA shares DMA1 Stream4 with SPI2_TX (see §4).</t>
  </si>
  <si>
    <t>B1-SDIO</t>
  </si>
  <si>
    <t>J1 microSD</t>
  </si>
  <si>
    <t>Data logging</t>
  </si>
  <si>
    <t>SDIO</t>
  </si>
  <si>
    <t>4-bit, default speed</t>
  </si>
  <si>
    <t>CLKDIV</t>
  </si>
  <si>
    <t>PC8–PC11 D0–D3, PC12 CK, PD2 CMD</t>
  </si>
  <si>
    <t>RN1 10k pull-ups on DAT0–3</t>
  </si>
  <si>
    <t>SDIO, DMA2_Stream3/6</t>
  </si>
  <si>
    <t>SDIO_CK = 48 MHz/(CLKDIV+2). HAL inits at 400 kHz, then switch to CLKDIV 0 → 24 MHz (default-speed limit 25 MHz). Use FIFO + burst INC4 on the DMA streams.</t>
  </si>
  <si>
    <t>B2-SPI1</t>
  </si>
  <si>
    <t>U7 ← B1 stack</t>
  </si>
  <si>
    <t>Slave, mode 0</t>
  </si>
  <si>
    <t>Slave of</t>
  </si>
  <si>
    <t>PB3 SCK, PB4 MISO, PB5 MOSI</t>
  </si>
  <si>
    <t>B_CS PB6 (GPIO in) · B2_INT PB12 (out)</t>
  </si>
  <si>
    <t>DMA1_Ch1 (RX), DMA1_Ch2_3 (TX), EXTI4_15</t>
  </si>
  <si>
    <t>Bit clock follows the B1-SPI1 master. CS is a plain GPIO (no hardware NSS): arm RX/TX DMA before B1 drops CS, then pulse B2_INT. See Pin_Map for the EXTI6 clash if CS uses EXTI.</t>
  </si>
  <si>
    <t>B2-SPI2</t>
  </si>
  <si>
    <t>U12 BMI323</t>
  </si>
  <si>
    <t>Master, mode 0/3</t>
  </si>
  <si>
    <t>CS PA8 · INT1 PC6 · INT2 PA9</t>
  </si>
  <si>
    <t>DMA1_Ch2_3, DMA1_Ch4_5_6_7, EXTI4_15</t>
  </si>
  <si>
    <t>.ioc: prescaler 16 → 1 Mbit/s. Prescaler 2 → 8 MHz is within BMI323 10 MHz and cuts the read from ~120 µs to ~15 µs.</t>
  </si>
  <si>
    <t>B2-USART3</t>
  </si>
  <si>
    <t>U7 ↔ B1 UART4</t>
  </si>
  <si>
    <t>USART3</t>
  </si>
  <si>
    <t>Async 8N1, TX/RX swap ON</t>
  </si>
  <si>
    <t>PB8, PB9 (swapped)</t>
  </si>
  <si>
    <t>USART3_4_LPUART1, DMA1_Ch4_5_6_7</t>
  </si>
  <si>
    <t>Swap must stay enabled (see B1-UART4). MSB-first removed in the fixed .ioc.</t>
  </si>
  <si>
    <t>B3-I2C1</t>
  </si>
  <si>
    <t>U13 MAX-M10S</t>
  </si>
  <si>
    <t>GPS (DDC 0x42)</t>
  </si>
  <si>
    <t>PB8 SCL, PB9 SDA (R16/R17 4.7k)</t>
  </si>
  <si>
    <t>GPS_INT PC13 · RST PC15 (OD) · LNA_EN PB3</t>
  </si>
  <si>
    <t>I2C1, DMA1_Ch1, DMA1_Ch2_3</t>
  </si>
  <si>
    <t>.ioc TIMINGR 0x00503D58 = 100 kHz at 16 MHz. MAX-M10S datasheet lists I2C Fast-mode 400 kHz: regenerate TIMINGR for 400 kHz in CubeMX.</t>
  </si>
  <si>
    <t>B3-USART1</t>
  </si>
  <si>
    <t>U9 SP3485 ↔ B1</t>
  </si>
  <si>
    <t>Async 8N1, swap ON, DE by GPIO</t>
  </si>
  <si>
    <t>PB6, PB7 (swapped)</t>
  </si>
  <si>
    <t>DE/RE PB5</t>
  </si>
  <si>
    <t>USART1, DMA1_Ch4_5_6_7</t>
  </si>
  <si>
    <t>G0 has hardware DE, but only on the USART1_DE pin; PB5 is a GPIO, so DE is software-driven (release in TC IRQ).</t>
  </si>
  <si>
    <t>4 · DMA schedule: stream/channel per request, conflict and mapping checks, bandwidth (edit Use DMA?, Stream, Ch)</t>
  </si>
  <si>
    <t>Key</t>
  </si>
  <si>
    <t>Alloc ID</t>
  </si>
  <si>
    <t>Dir</t>
  </si>
  <si>
    <t>Use DMA?</t>
  </si>
  <si>
    <t>Controller</t>
  </si>
  <si>
    <t>Stream / Ch #</t>
  </si>
  <si>
    <t>Request (F4 ch# / G0 DMAMUX)</t>
  </si>
  <si>
    <t>Priority</t>
  </si>
  <si>
    <t>Txn ID (Interface_Data_Rates)</t>
  </si>
  <si>
    <t>Bytes / transfer</t>
  </si>
  <si>
    <t>Transfers / s</t>
  </si>
  <si>
    <t>Bytes / s</t>
  </si>
  <si>
    <t>Stream conflict</t>
  </si>
  <si>
    <t>Mapping check</t>
  </si>
  <si>
    <t>Summary (feeds §3)</t>
  </si>
  <si>
    <t>RX</t>
  </si>
  <si>
    <t>Y</t>
  </si>
  <si>
    <t>DMA1</t>
  </si>
  <si>
    <t>Normal</t>
  </si>
  <si>
    <t>High</t>
  </si>
  <si>
    <t>T01</t>
  </si>
  <si>
    <t>TX</t>
  </si>
  <si>
    <t>Only stream for SPI2_TX on F405.</t>
  </si>
  <si>
    <t>Medium</t>
  </si>
  <si>
    <t>T02</t>
  </si>
  <si>
    <t>HAL_I2C_Mem_Read_DMA: address/register phase is interrupt-driven, data phase by DMA.</t>
  </si>
  <si>
    <t>Low</t>
  </si>
  <si>
    <t>T03</t>
  </si>
  <si>
    <t>Circular</t>
  </si>
  <si>
    <t>T07</t>
  </si>
  <si>
    <t>Circular RX + IDLE-line interrupt = frame-agnostic receive.</t>
  </si>
  <si>
    <t>T06</t>
  </si>
  <si>
    <t>CONFLICT with SPI2_TX (only legal stream for both). Fix: set Use DMA? = N here and send UART4 frames by TXE interrupt (8–14 B), or time-share Stream4 by re-programming CHSEL between transfers.</t>
  </si>
  <si>
    <t>DMA2</t>
  </si>
  <si>
    <t>T04</t>
  </si>
  <si>
    <t>Stream5 chosen so SDIO can keep Stream3.</t>
  </si>
  <si>
    <t>Very high</t>
  </si>
  <si>
    <t>T09</t>
  </si>
  <si>
    <t>Receives B3 frames; IDLE interrupt marks frame end.</t>
  </si>
  <si>
    <t>T08</t>
  </si>
  <si>
    <t>Periph flow ctrl</t>
  </si>
  <si>
    <t>T13</t>
  </si>
  <si>
    <t>SDIO needs FIFO mode, burst INC4, peripheral flow control.</t>
  </si>
  <si>
    <t>SPI1_RX</t>
  </si>
  <si>
    <t>Slave: must be armed before CS falls.</t>
  </si>
  <si>
    <t>SPI1_TX</t>
  </si>
  <si>
    <t>SPI2_RX</t>
  </si>
  <si>
    <t>T05</t>
  </si>
  <si>
    <t>SPI2_TX</t>
  </si>
  <si>
    <t>USART3_RX</t>
  </si>
  <si>
    <t>USART3_TX</t>
  </si>
  <si>
    <t>I2C1_RX</t>
  </si>
  <si>
    <t>T12</t>
  </si>
  <si>
    <t>I2C1_TX</t>
  </si>
  <si>
    <t>T11</t>
  </si>
  <si>
    <t>USART1_RX</t>
  </si>
  <si>
    <t>USART1_TX</t>
  </si>
  <si>
    <t>Streams in use</t>
  </si>
  <si>
    <t>Conflicts</t>
  </si>
  <si>
    <t>F405 DMA request map used by the Mapping check (RM0090 Tables 42–43, subset). Verify in CubeMX before relying on it.</t>
  </si>
  <si>
    <t>Request</t>
  </si>
  <si>
    <t>Stream</t>
  </si>
  <si>
    <t>Channel</t>
  </si>
  <si>
    <t>UART4_RX</t>
  </si>
  <si>
    <t>UART4_TX</t>
  </si>
  <si>
    <t>SDIO_RX</t>
  </si>
  <si>
    <t>SDIO_TX</t>
  </si>
  <si>
    <t>5 · Timer allocation (TIMx): edit target tick; PSC/ARR and rates follow the clock tree and loop rate</t>
  </si>
  <si>
    <t>Timer</t>
  </si>
  <si>
    <t>Timer clk (MHz)</t>
  </si>
  <si>
    <t>Target tick (Hz)</t>
  </si>
  <si>
    <t>PSC</t>
  </si>
  <si>
    <t>Actual tick (Hz)</t>
  </si>
  <si>
    <t>ARR</t>
  </si>
  <si>
    <t>Update rate (Hz)</t>
  </si>
  <si>
    <t>Wrap / period (s)</t>
  </si>
  <si>
    <t>Counter bits</t>
  </si>
  <si>
    <t>Fits?</t>
  </si>
  <si>
    <t>Purpose</t>
  </si>
  <si>
    <t>Pin / channel</t>
  </si>
  <si>
    <t>TIM6</t>
  </si>
  <si>
    <t>Control-loop tick → starts sensor DMA</t>
  </si>
  <si>
    <t>internal</t>
  </si>
  <si>
    <t>ARR follows LoopHz. Update IRQ (TIM6_DAC) wakes the sensor task.</t>
  </si>
  <si>
    <t>TIM2</t>
  </si>
  <si>
    <t>1 µs free-running timestamp</t>
  </si>
  <si>
    <t>Wraps every ~71.6 min; use for log timestamps and inter-board sync.</t>
  </si>
  <si>
    <t>TIM7</t>
  </si>
  <si>
    <t>HAL timebase (FreeRTOS owns SysTick)</t>
  </si>
  <si>
    <t>CubeMX: SYS → Timebase source = TIM7 when FreeRTOS is enabled.</t>
  </si>
  <si>
    <t>1 µs timestamp for BMI323 samples</t>
  </si>
  <si>
    <t>Re-zeroed from B1 time in each stack frame.</t>
  </si>
  <si>
    <t>Stack link watchdog (2 loop periods)</t>
  </si>
  <si>
    <t>If B1 has not clocked a frame in 2 periods, re-arm SPI1 DMA.</t>
  </si>
  <si>
    <t>TIM3</t>
  </si>
  <si>
    <t>GPS 1PPS input capture (TIMEPULSE)</t>
  </si>
  <si>
    <t>PB4 = TIM3_CH1 (AF1)</t>
  </si>
  <si>
    <t>16-bit at 1 µs wraps every 65.5 ms: count update IRQs to extend to 32 bits. .ioc has PB4 as plain GPIO input: change to TIM3_CH1.</t>
  </si>
  <si>
    <t>1 µs timestamp</t>
  </si>
  <si>
    <t>RS-485 response timeout (1 loop period)</t>
  </si>
  <si>
    <t>Drop DE and return to RX if a frame is incomplete.</t>
  </si>
  <si>
    <t>6 · Per-cycle task timeline (worst cycle = every periodic job lands in the same cycle; DMA lets bus and CPU overlap, so the serial sum is an upper bound)</t>
  </si>
  <si>
    <t>#</t>
  </si>
  <si>
    <t>Task</t>
  </si>
  <si>
    <t>Bus txn ID</t>
  </si>
  <si>
    <t>Trigger</t>
  </si>
  <si>
    <t>Bus µs / occurrence</t>
  </si>
  <si>
    <t>CPU cycles / occurrence</t>
  </si>
  <si>
    <t>CPU µs / occurrence</t>
  </si>
  <si>
    <t>Occurrences / cycle</t>
  </si>
  <si>
    <t>Worst-cycle µs</t>
  </si>
  <si>
    <t>Serial start µs</t>
  </si>
  <si>
    <t>Serial end µs</t>
  </si>
  <si>
    <t>Avg CPU µs / cycle</t>
  </si>
  <si>
    <t>Avg bus µs / cycle</t>
  </si>
  <si>
    <t>Loop tick ISR → kick sensor DMA</t>
  </si>
  <si>
    <t>TIM6 update</t>
  </si>
  <si>
    <t>LSM6DSL read (SPI2 DMA)</t>
  </si>
  <si>
    <t>tick / INT1 DRDY</t>
  </si>
  <si>
    <t>MMC5983MA read (I2C1 DMA)</t>
  </si>
  <si>
    <t>MAG_INT</t>
  </si>
  <si>
    <t>MMC5983MA SET/RESET write</t>
  </si>
  <si>
    <t>1 Hz</t>
  </si>
  <si>
    <t>Stack SPI1 exchange with B2</t>
  </si>
  <si>
    <t>B2_INT ready</t>
  </si>
  <si>
    <t>UART4 frame to B2</t>
  </si>
  <si>
    <t>loop</t>
  </si>
  <si>
    <t>RS-485 poll to B3 (DE high)</t>
  </si>
  <si>
    <t>RS-485 status from B3 (RX DMA + IDLE)</t>
  </si>
  <si>
    <t>USART1 IDLE</t>
  </si>
  <si>
    <t>RS-485 GPS summary from B3</t>
  </si>
  <si>
    <t>T10</t>
  </si>
  <si>
    <t>Sensor fusion / analysis (AHRS / EKF)</t>
  </si>
  <si>
    <t>all reads done</t>
  </si>
  <si>
    <t>Estimate: Madgwick ≈ 2–5k cycles, small EKF ≈ 10–30k cycles on M4F with FPU. Measure with DWT-&gt;CYCCNT and replace.</t>
  </si>
  <si>
    <t>Frame pack + CRC + append to log buffer</t>
  </si>
  <si>
    <t>SD block write (FatFs, SDIO DMA)</t>
  </si>
  <si>
    <t>buffer half full</t>
  </si>
  <si>
    <t>Run in a low-priority task so a card stall never blocks the loop.</t>
  </si>
  <si>
    <t>BMI323 read (SPI2 DMA)</t>
  </si>
  <si>
    <t>INT1 DRDY</t>
  </si>
  <si>
    <t>Pack stack frame (scale, timestamp, CRC)</t>
  </si>
  <si>
    <t>after read</t>
  </si>
  <si>
    <t>Stack SPI1 slave exchange</t>
  </si>
  <si>
    <t>B_CS from B1</t>
  </si>
  <si>
    <t>USART3 frame to B1</t>
  </si>
  <si>
    <t>RS-485 poll from B1 (RX)</t>
  </si>
  <si>
    <t>RS-485 status reply (DE high)</t>
  </si>
  <si>
    <t>after poll</t>
  </si>
  <si>
    <t>GPS bytes-available poll (I2C1)</t>
  </si>
  <si>
    <t>4× nav rate</t>
  </si>
  <si>
    <t>GPS NAV-PVT read (I2C1 DMA)</t>
  </si>
  <si>
    <t>nav rate</t>
  </si>
  <si>
    <t>UBX parse + checksum + summary</t>
  </si>
  <si>
    <t>RS-485 GPS summary (DE high)</t>
  </si>
  <si>
    <t>Worst-cycle CPU µs (serial)</t>
  </si>
  <si>
    <t>Busiest loop bus, worst cycle µs</t>
  </si>
  <si>
    <t>Loop period µs</t>
  </si>
  <si>
    <t>Worst cycle fits?</t>
  </si>
  <si>
    <t>CPU util (tasks)</t>
  </si>
  <si>
    <t>Allowed</t>
  </si>
  <si>
    <t>Max loop rate, CPU-bound (Hz)</t>
  </si>
  <si>
    <t>SYSCLK needed (MHz)</t>
  </si>
  <si>
    <t>DMA runs buses in parallel with the CPU, so a cycle fits if both the CPU critical path and the busiest loop-synchronous bus fit. Start/End columns above are a no-overlap serial view. Task CPU only: CPU_Load adds interrupt overhead.</t>
  </si>
  <si>
    <t>Interface data rates · per transaction and per bus</t>
  </si>
  <si>
    <t>Bit clocks come from the allocation table on SW_Timing_Budgets (change a prescaler/baud there). Edit payload/overhead/occurrence here. Times include protocol bit overhead.</t>
  </si>
  <si>
    <t>1 · Wire-format constants</t>
  </si>
  <si>
    <t>Protocol</t>
  </si>
  <si>
    <t>Wire clocks per byte</t>
  </si>
  <si>
    <t>Basis</t>
  </si>
  <si>
    <t>SPI</t>
  </si>
  <si>
    <t>8 SCK edges per byte, full duplex</t>
  </si>
  <si>
    <t>I2C</t>
  </si>
  <si>
    <t>8 data bits + ACK</t>
  </si>
  <si>
    <t>UART</t>
  </si>
  <si>
    <t>8N1: start + 8 data + stop</t>
  </si>
  <si>
    <t>SDIO4</t>
  </si>
  <si>
    <t>4-bit bus: 2 clocks per byte</t>
  </si>
  <si>
    <t>2 · Transactions (one row per message type)</t>
  </si>
  <si>
    <t>Transaction</t>
  </si>
  <si>
    <t>Bus ID</t>
  </si>
  <si>
    <t>Payload bytes</t>
  </si>
  <si>
    <t>Overhead bytes</t>
  </si>
  <si>
    <t>Total bytes</t>
  </si>
  <si>
    <t>Clocks / byte</t>
  </si>
  <si>
    <t>Fixed bits</t>
  </si>
  <si>
    <t>Fixed µs</t>
  </si>
  <si>
    <t>Txn time (µs)</t>
  </si>
  <si>
    <t>Occurrences / loop</t>
  </si>
  <si>
    <t>Rate (Hz)</t>
  </si>
  <si>
    <t>Bus busy (µs/s)</t>
  </si>
  <si>
    <t>Bus util</t>
  </si>
  <si>
    <t>Payload (B/s)</t>
  </si>
  <si>
    <t>Wire (bit/s)</t>
  </si>
  <si>
    <t>LSM6DSL burst read OUTX_L_G…OUTZ_H_XL (gyro + accel)</t>
  </si>
  <si>
    <t>1 address byte (0x22 | 0x80, IF_INC auto-increment). +2 B for temperature. Fixed µs = CS setup/hold + DMA start.</t>
  </si>
  <si>
    <t>MMC5983MA read Xout0…XYZout2 (3 × 18-bit)</t>
  </si>
  <si>
    <t>Overhead = addr+W, reg 0x00, addr+R. Fixed bits = START, repeated START, STOP. Fixed µs = HAL I2C state machine (estimate).</t>
  </si>
  <si>
    <t>MMC5983MA control write (SET/RESET, 1 Hz)</t>
  </si>
  <si>
    <t>Writes Internal Control 0 (0x09) once a second. Set occurrences to 0 if you use the automatic periodic SET (En_prd_set).</t>
  </si>
  <si>
    <t>B1 ↔ B2 stack SPI frame (B2 IMU + status + seq + CRC16)</t>
  </si>
  <si>
    <t>Full duplex: 32 B each way in one transfer. 10 µs = CS-to-first-SCK guard so the B2 slave DMA is armed.</t>
  </si>
  <si>
    <t>BMI323 read ACC_DATA_X…GYR_DATA_Z</t>
  </si>
  <si>
    <t>BMI323 SPI read = address byte + 1 dummy byte, then 16-bit words.</t>
  </si>
  <si>
    <t>B1 → B2 UART4 frame (time sync / command)</t>
  </si>
  <si>
    <t>B1-UART4 TX</t>
  </si>
  <si>
    <t>Overhead = 2 sync + length + seq + CRC16. Full-duplex UART: each direction is its own bus.</t>
  </si>
  <si>
    <t>B2 → B1 USART3 frame (status / ack)</t>
  </si>
  <si>
    <t>B2-USART3 TX</t>
  </si>
  <si>
    <t>B1 → B3 RS-485 poll / command</t>
  </si>
  <si>
    <t>RS485</t>
  </si>
  <si>
    <t>Half-duplex: all RS-485 rows share one bus. Fixed µs = DE switch + responder turnaround.</t>
  </si>
  <si>
    <t>B3 → B1 RS-485 status frame</t>
  </si>
  <si>
    <t>B3 → B1 RS-485 GPS summary (pos / vel / time / fix)</t>
  </si>
  <si>
    <t>MAX-M10S bytes-available read (0xFD/0xFE)</t>
  </si>
  <si>
    <t>Polled at 4× nav rate. Using GPS_INT (TX-ready on PC13) instead drops this to 0.</t>
  </si>
  <si>
    <t>MAX-M10S UBX-NAV-PVT read from 0xFF stream</t>
  </si>
  <si>
    <t>NAV-PVT = 92 B payload + 8 B UBX header/checksum.</t>
  </si>
  <si>
    <t>microSD 512 B block write (SDIO DMA)</t>
  </si>
  <si>
    <t>Overhead = CRC16 per data line; 48 bits = command. Fixed µs = typical card programming busy. Cards can stall 100–500 ms: buffer sized on Memory_Logging.</t>
  </si>
  <si>
    <t>3 · Bus utilization summary</t>
  </si>
  <si>
    <t>Busy (µs/s)</t>
  </si>
  <si>
    <t>Utilization</t>
  </si>
  <si>
    <t>Worst-cycle busy (µs)</t>
  </si>
  <si>
    <t>Must finish within one loop?</t>
  </si>
  <si>
    <t>Max loop rate at allowed util (Hz)</t>
  </si>
  <si>
    <t>At 100 kHz (current .ioc) this bus alone caps the loop well below 1 kHz.</t>
  </si>
  <si>
    <t>B1+B3</t>
  </si>
  <si>
    <t>Half-duplex: poll + status + GPS summary share one pair. In the cycle where the GPS frame lands, poll+status+GPS exceed 1 ms at 1 Mbaud: send the GPS summary instead of (not after) the status frame, or split it.</t>
  </si>
  <si>
    <t>N</t>
  </si>
  <si>
    <t>GPS-rate traffic: a 2.3 ms DMA read may span loop ticks. "Max loop rate" overstates headroom (not loop-scaled).</t>
  </si>
  <si>
    <t>Runs in a background task from the log buffer.</t>
  </si>
  <si>
    <t>Power budget · per component, 3V3 rail, buck, battery</t>
  </si>
  <si>
    <t>Currents are datasheet typicals/maxima or labelled estimates (see Basis). MCU current scales with SYSCLK from the clock tree; SD/RS-485/pull-up currents scale with bus utilization.</t>
  </si>
  <si>
    <t>1 · Assumptions</t>
  </si>
  <si>
    <t>3V3 rail voltage</t>
  </si>
  <si>
    <t>V</t>
  </si>
  <si>
    <t>AP63203 fixed 3.3 V output.</t>
  </si>
  <si>
    <t>Battery V min / nom / max (D, E, F)</t>
  </si>
  <si>
    <t>2S Li-ion/LiPo: 3.0 V/cell cutoff.</t>
  </si>
  <si>
    <t>Buck η light / typ / heavy (D, E, F)</t>
  </si>
  <si>
    <t>AP63203 datasheet efficiency curves at 7.4 V in (estimate; PFM at light load).</t>
  </si>
  <si>
    <t>Buck quiescent current</t>
  </si>
  <si>
    <t>mA</t>
  </si>
  <si>
    <t>AP63203 Iq ≈ 22 µA (non-switching).</t>
  </si>
  <si>
    <t>Buck rating</t>
  </si>
  <si>
    <t>AP63203 continuous output.</t>
  </si>
  <si>
    <t>Q1 AO3401A Rds(on)</t>
  </si>
  <si>
    <t>Ω</t>
  </si>
  <si>
    <t>At Vgs = −4.5 V (battery 6–8.4 V gives ≥ this drive).</t>
  </si>
  <si>
    <t>Q1 rating</t>
  </si>
  <si>
    <t>AO3401A continuous drain current.</t>
  </si>
  <si>
    <t>Battery capacity / usable fraction (D, E)</t>
  </si>
  <si>
    <t>mAh</t>
  </si>
  <si>
    <t>Assumption: enter your pack. Usable fraction in G13.</t>
  </si>
  <si>
    <t>LED Vf / series R (D, E)</t>
  </si>
  <si>
    <t>Red 0805 LED (C84256) ≈ 1.9 V; R8/R14/R15 = 1 kΩ .</t>
  </si>
  <si>
    <t>LED on-duty (typ)</t>
  </si>
  <si>
    <t>Blinking heartbeat.</t>
  </si>
  <si>
    <t>I2C pull-ups B1 / B3 (D, E)</t>
  </si>
  <si>
    <t>R6/R7 2.7k (B1), R16/R17 4.7k (B3, G16).</t>
  </si>
  <si>
    <t>SD idle / active write current (D, E)</t>
  </si>
  <si>
    <t>Card-dependent: idle 0.2–1 mA; writing 50–100 mA ; peaks to ~200 mA.</t>
  </si>
  <si>
    <t>RS-485 Vod (D) / DC load Ω (E)</t>
  </si>
  <si>
    <t>Load : 120 Ω = one terminator, 60 Ω = both ends, 12 000 Ω = unterminated (receiver 1 UL).</t>
  </si>
  <si>
    <t>SP3485 quiescent current</t>
  </si>
  <si>
    <t>Estimate (receiver on, driver idle). Check Exar/MaxLinear SP3485 ICC.</t>
  </si>
  <si>
    <t>F405 run current: base (D) + k (E) · SYSCLK</t>
  </si>
  <si>
    <t>k  mA/MHz. Fits DS8626 run-from-flash, peripherals on: ≈10 mA @16 MHz, ≈86 mA @168 MHz. Estimate.</t>
  </si>
  <si>
    <t>G071 run current: base (D) + k (E) · SYSCLK</t>
  </si>
  <si>
    <t>k . ≈100 µA/MHz run from flash (STM32G071 DS). Estimate.</t>
  </si>
  <si>
    <t>MCU min (D) / max (E) factor vs typ</t>
  </si>
  <si>
    <t>Min = sleep between DMA events; max  = 85 °C, all peripherals active.</t>
  </si>
  <si>
    <t>2 · Component currents (3V3 rail)</t>
  </si>
  <si>
    <t>Ref</t>
  </si>
  <si>
    <t>Part</t>
  </si>
  <si>
    <t>Rail (V)</t>
  </si>
  <si>
    <t>I min (mA)</t>
  </si>
  <si>
    <t>I typ (mA)</t>
  </si>
  <si>
    <t>I max (mA)</t>
  </si>
  <si>
    <t>I peak (mA)</t>
  </si>
  <si>
    <t>P min (mW)</t>
  </si>
  <si>
    <t>P typ (mW)</t>
  </si>
  <si>
    <t>P max (mW)</t>
  </si>
  <si>
    <t>P peak (mW)</t>
  </si>
  <si>
    <t>Basis / source</t>
  </si>
  <si>
    <t>U1</t>
  </si>
  <si>
    <t>STM32F405RG (+HSE xtal)</t>
  </si>
  <si>
    <t>Scales with SYSCLK on SW_Timing_Budgets. DS8626 Tables 20–23 (estimate fit).</t>
  </si>
  <si>
    <t>U2</t>
  </si>
  <si>
    <t>LSM6DSL</t>
  </si>
  <si>
    <t>Datasheet: 0.9 mA combo high-performance; 3 µA power-down. Max is estimate at 6.66 kHz.</t>
  </si>
  <si>
    <t>U3</t>
  </si>
  <si>
    <t>MMC5983MA</t>
  </si>
  <si>
    <t>Estimate at high continuous rate; SET/RESET pulses come from the CAP reservoir. Verify against datasheet current vs BW.</t>
  </si>
  <si>
    <t>J1</t>
  </si>
  <si>
    <t>microSD card</t>
  </si>
  <si>
    <t>Typ = idle + write duty (SDIO bus util) × active current. Peak 200 mA during program/erase.</t>
  </si>
  <si>
    <t>U5</t>
  </si>
  <si>
    <t>SP3485 (RS-485)</t>
  </si>
  <si>
    <t>Driver current only while this end transmits (≈ half the RS-485 bus time).</t>
  </si>
  <si>
    <t>R6/R7</t>
  </si>
  <si>
    <t>I2C pull-ups 2.7k</t>
  </si>
  <si>
    <t>Current flows only while a line is low (≈50% of busy time).</t>
  </si>
  <si>
    <t>RN1</t>
  </si>
  <si>
    <t>SD DAT pull-ups 4×10k</t>
  </si>
  <si>
    <t>D1</t>
  </si>
  <si>
    <t>LED red + 1k</t>
  </si>
  <si>
    <t>(3.3 − Vf)/R</t>
  </si>
  <si>
    <t>U7</t>
  </si>
  <si>
    <t>STM32G071CB (+HSE xtal)</t>
  </si>
  <si>
    <t>Scales with SYSCLK.</t>
  </si>
  <si>
    <t>U12</t>
  </si>
  <si>
    <t>BMI323</t>
  </si>
  <si>
    <t>Datasheet: ≈790 µA accel+gyro high-performance. Suspend few µA.</t>
  </si>
  <si>
    <t>D2</t>
  </si>
  <si>
    <t>U8</t>
  </si>
  <si>
    <t>U13</t>
  </si>
  <si>
    <t>MAX-M10S GNSS</t>
  </si>
  <si>
    <t>MAX-M10S DS Table 15 @3.0 V: tracking 9.5 mA + VIO 2.3 mA (default GNSS); acquisition up to 13 + 2.3 mA; inrush up to 100 mA. Min = software standby.</t>
  </si>
  <si>
    <t>AE1</t>
  </si>
  <si>
    <t>Active antenna LNA (via VCC_RF)</t>
  </si>
  <si>
    <t>Assumption: depends on the antenna you buy (typ. 5–20 mA). MAX-M10S VCC_RF recommended ≤ 50 mA. Min = LNA_EN off.</t>
  </si>
  <si>
    <t>U9</t>
  </si>
  <si>
    <t>R16/R17</t>
  </si>
  <si>
    <t>I2C pull-ups 4.7k</t>
  </si>
  <si>
    <t>D3</t>
  </si>
  <si>
    <t>3V3 rail total</t>
  </si>
  <si>
    <t>Peak column sums coincident worst-case peaks (conservative).</t>
  </si>
  <si>
    <t>Per-board 3V3 load (B2 and B3 are fed from B1 through the stack header / RS-485 cable)</t>
  </si>
  <si>
    <t>3 · Buck converter and battery (input current = Pout / (η · Vbat) + Iq; Q1 loss = I² · Rds)</t>
  </si>
  <si>
    <t>Load case</t>
  </si>
  <si>
    <t>3V3 load (mA)</t>
  </si>
  <si>
    <t>Pout (mW)</t>
  </si>
  <si>
    <t>η</t>
  </si>
  <si>
    <t>Buck loss (mW)</t>
  </si>
  <si>
    <t>I bat @ min V (mA)</t>
  </si>
  <si>
    <t>I bat @ nom V (mA)</t>
  </si>
  <si>
    <t>I bat @ max V (mA)</t>
  </si>
  <si>
    <t>Q1 loss @ min V (mW)</t>
  </si>
  <si>
    <t>Battery power @ nom (mW)</t>
  </si>
  <si>
    <t>Runtime @ nom (h)</t>
  </si>
  <si>
    <t>Min</t>
  </si>
  <si>
    <t>Sleep between events.</t>
  </si>
  <si>
    <t>Typical</t>
  </si>
  <si>
    <t>Runtime estimate uses this row.</t>
  </si>
  <si>
    <t>Max</t>
  </si>
  <si>
    <t>All sensors max, RS-485 transmitting into the load.</t>
  </si>
  <si>
    <t>Peak</t>
  </si>
  <si>
    <t>Coincident peaks (SD program + GPS inrush). Use for buck/FET sizing.</t>
  </si>
  <si>
    <t>Check</t>
  </si>
  <si>
    <t>Value</t>
  </si>
  <si>
    <t>Limit</t>
  </si>
  <si>
    <t>Margin</t>
  </si>
  <si>
    <t>Buck output: 3V3 peak load (mA) vs rating</t>
  </si>
  <si>
    <t>Q1: peak battery current (mA) vs rating</t>
  </si>
  <si>
    <t>GPS active antenna current (mA) vs VCC_RF 50 mA</t>
  </si>
  <si>
    <t>CPU load · interrupt overhead, task load, NVIC / FreeRTOS priority rules</t>
  </si>
  <si>
    <t>Interrupt rates follow the transaction rates on Interface_Data_Rates. Cycles per ISR are estimates (HAL handlers are heavy); measure with DWT-&gt;CYCCNT and replace.</t>
  </si>
  <si>
    <t>1 · RTOS settings (Board 1 runs FreeRTOS per .ioc)</t>
  </si>
  <si>
    <t>configLIBRARY_MAX_SYSCALL_INTERRUPT_PRIORITY</t>
  </si>
  <si>
    <t>ISRs that call FreeRTOS ...FromISR() APIs must have numeric priority ≥ this (lower urgency).</t>
  </si>
  <si>
    <t>FreeRTOS tick rate</t>
  </si>
  <si>
    <t>configTICK_RATE_HZ.</t>
  </si>
  <si>
    <t>Context-switch cost</t>
  </si>
  <si>
    <t>cycles</t>
  </si>
  <si>
    <t>Cortex-M4 with FPU lazy stacking ≈ 100–300 cycles.</t>
  </si>
  <si>
    <t>2 · Interrupt sources</t>
  </si>
  <si>
    <t>IRQ handler</t>
  </si>
  <si>
    <t>Source</t>
  </si>
  <si>
    <t>Events / s</t>
  </si>
  <si>
    <t>Cycles / ISR</t>
  </si>
  <si>
    <t>CPU µs / s</t>
  </si>
  <si>
    <t>CPU %</t>
  </si>
  <si>
    <t>Calls RTOS API?</t>
  </si>
  <si>
    <t>Priority check</t>
  </si>
  <si>
    <t>TIM6_DAC_IRQHandler</t>
  </si>
  <si>
    <t>Loop tick</t>
  </si>
  <si>
    <t>DMA1_Stream3_IRQHandler</t>
  </si>
  <si>
    <t>SPI2 RX complete (LSM6DSL)</t>
  </si>
  <si>
    <t>EXTI9_5_IRQHandler</t>
  </si>
  <si>
    <t>LSM6DSL INT1 data-ready</t>
  </si>
  <si>
    <t>Skip if the loop tick starts the read instead of DRDY.</t>
  </si>
  <si>
    <t>DMA1_Stream0_IRQHandler</t>
  </si>
  <si>
    <t>I2C1 RX complete (MMC5983MA)</t>
  </si>
  <si>
    <t>I2C1_EV_IRQHandler</t>
  </si>
  <si>
    <t>I2C address/register phases (≈4 per txn)</t>
  </si>
  <si>
    <t>EXTI15_10_IRQHandler</t>
  </si>
  <si>
    <t>MMC5983MA INT (measurement done)</t>
  </si>
  <si>
    <t>DMA2_Stream0_IRQHandler</t>
  </si>
  <si>
    <t>SPI1 RX complete (stack)</t>
  </si>
  <si>
    <t>EXTI4_IRQHandler</t>
  </si>
  <si>
    <t>B2_INT (B2 frame ready)</t>
  </si>
  <si>
    <t>USART1_IRQHandler</t>
  </si>
  <si>
    <t>RS-485 IDLE (RX frames) + TC (release DE)</t>
  </si>
  <si>
    <t>TC must drop DE within ~1 bit time; keep this the most urgent RTOS-aware IRQ.</t>
  </si>
  <si>
    <t>DMA2_Stream2/7_IRQHandler</t>
  </si>
  <si>
    <t>USART1 DMA half/complete</t>
  </si>
  <si>
    <t>UART4_IRQHandler + DMA1_Stream2</t>
  </si>
  <si>
    <t>Stack UART IDLE / TX</t>
  </si>
  <si>
    <t>SDIO_IRQHandler + DMA2_Stream6</t>
  </si>
  <si>
    <t>SD block transfer (≈3 IRQs per block)</t>
  </si>
  <si>
    <t>SysTick_Handler</t>
  </si>
  <si>
    <t>FreeRTOS tick</t>
  </si>
  <si>
    <t>PendSV (context switches)</t>
  </si>
  <si>
    <t>≈2 switches per loop</t>
  </si>
  <si>
    <t>EXTI4_15_IRQHandler</t>
  </si>
  <si>
    <t>BMI323 INT1 data-ready</t>
  </si>
  <si>
    <t>N/A</t>
  </si>
  <si>
    <t>DMA1_Ch2_3_IRQHandler</t>
  </si>
  <si>
    <t>SPI2 RX complete</t>
  </si>
  <si>
    <t>DMA1_Channel1_IRQHandler</t>
  </si>
  <si>
    <t>SPI1 slave RX complete</t>
  </si>
  <si>
    <t>Highest priority: re-arm before the next CS.</t>
  </si>
  <si>
    <t>USART3_4_LPUART1_IRQHandler</t>
  </si>
  <si>
    <t>UART IDLE / TC</t>
  </si>
  <si>
    <t>HAL tick</t>
  </si>
  <si>
    <t>RS-485 IDLE + TC (DE)</t>
  </si>
  <si>
    <t>DMA1_Ch2_3 / Ch4_5_6_7</t>
  </si>
  <si>
    <t>USART1 + I2C1 DMA complete</t>
  </si>
  <si>
    <t>I2C1_IRQHandler</t>
  </si>
  <si>
    <t>I2C phases (≈4 per txn)</t>
  </si>
  <si>
    <t>TIM3_IRQHandler</t>
  </si>
  <si>
    <t>PPS capture + 16-bit overflow counting</t>
  </si>
  <si>
    <t>3 · CPU utilization per board (tasks from SW_Timing_Budgets §6 + interrupts above)</t>
  </si>
  <si>
    <t>ISR µs / s</t>
  </si>
  <si>
    <t>Task µs / s</t>
  </si>
  <si>
    <t>Total util</t>
  </si>
  <si>
    <t>Max loop rate (Hz)</t>
  </si>
  <si>
    <t>If OVER: raise SYSCLK to 168 MHz on SW_Timing_Budgets (APB1 ÷4, APB2 ÷2) and re-check the SPI2 prescaler.</t>
  </si>
  <si>
    <t>Memory and logging budget · log volume, SD buffer, RAM, Flash</t>
  </si>
  <si>
    <t>Log record layout drives the SD write rate (feeds transaction T13) and the buffer needed to ride out card stalls.</t>
  </si>
  <si>
    <t>1 · Log record contents</t>
  </si>
  <si>
    <t>Field</t>
  </si>
  <si>
    <t>Bytes</t>
  </si>
  <si>
    <t>Sync + length</t>
  </si>
  <si>
    <t>Per high-rate record</t>
  </si>
  <si>
    <t>Timestamp (µs, u32)</t>
  </si>
  <si>
    <t>TIM2 on B1</t>
  </si>
  <si>
    <t>Sequence (u16)</t>
  </si>
  <si>
    <t>LSM6DSL gyro + accel (6 × i16)</t>
  </si>
  <si>
    <t>BMI323 gyro + accel (6 × i16)</t>
  </si>
  <si>
    <t>From B2 via stack frame</t>
  </si>
  <si>
    <t>MMC5983MA X/Y/Z (3 × 18-bit, packed)</t>
  </si>
  <si>
    <t>Raw register image Xout0…XYZout2</t>
  </si>
  <si>
    <t>Fusion output quaternion (4 × i16)</t>
  </si>
  <si>
    <t>Status / flags</t>
  </si>
  <si>
    <t>CRC16</t>
  </si>
  <si>
    <t>GPS summary record</t>
  </si>
  <si>
    <t>Low-rate record</t>
  </si>
  <si>
    <t>B3 status record</t>
  </si>
  <si>
    <t>Low-rate record (10 Hz assumed)</t>
  </si>
  <si>
    <t>Event / text log</t>
  </si>
  <si>
    <t>Total</t>
  </si>
  <si>
    <t>Log bytes per loop cycle</t>
  </si>
  <si>
    <t>B</t>
  </si>
  <si>
    <t>Feeds T13 occurrences on Interface_Data_Rates.</t>
  </si>
  <si>
    <t>Log rate</t>
  </si>
  <si>
    <t>MB/h</t>
  </si>
  <si>
    <t>Mission duration</t>
  </si>
  <si>
    <t>min</t>
  </si>
  <si>
    <t>Assumption: edit.</t>
  </si>
  <si>
    <t>Data per mission</t>
  </si>
  <si>
    <t>MB</t>
  </si>
  <si>
    <t>SD card size</t>
  </si>
  <si>
    <t>GB</t>
  </si>
  <si>
    <t>Hours until card is full</t>
  </si>
  <si>
    <t>h</t>
  </si>
  <si>
    <t>Card minimum sequential write speed</t>
  </si>
  <si>
    <t>MB/s</t>
  </si>
  <si>
    <t>Class 10 / U1 = 10 MB/s.</t>
  </si>
  <si>
    <t>Sustained write needed vs card min speed</t>
  </si>
  <si>
    <t>2 · SD write buffer (must cover the worst card stall)</t>
  </si>
  <si>
    <t>Worst-case SD write stall</t>
  </si>
  <si>
    <t>ms</t>
  </si>
  <si>
    <t>Cards stall 100–500 ms during wear levelling / erase. Measure your card.</t>
  </si>
  <si>
    <t>f_write chunk size</t>
  </si>
  <si>
    <t>Multiple of 512; 4–16 KB lets the card use multi-block writes.</t>
  </si>
  <si>
    <t>Data accumulated during a stall</t>
  </si>
  <si>
    <t>Required log buffer (ping-pong)</t>
  </si>
  <si>
    <t>Double buffer, rounded to 512 B. Put it in main SRAM (CCM is not DMA-reachable).</t>
  </si>
  <si>
    <t>Write-to-card latency of a sample</t>
  </si>
  <si>
    <t>Time to fill one chunk before it is written.</t>
  </si>
  <si>
    <t>3 · RAM budget</t>
  </si>
  <si>
    <t>Item</t>
  </si>
  <si>
    <t>FreeRTOS heap (configTOTAL_HEAP_SIZE)</t>
  </si>
  <si>
    <t>Holds task stacks/TCBs when created dynamically.</t>
  </si>
  <si>
    <t>Log buffer (from §2)</t>
  </si>
  <si>
    <t>DMA buffers (2 × bytes per stream)</t>
  </si>
  <si>
    <t>From the DMA table.</t>
  </si>
  <si>
    <t>RS-485 + UART circular RX buffers</t>
  </si>
  <si>
    <t>FatFs (FATFS + FIL + sector buffer)</t>
  </si>
  <si>
    <t>_FS_TINY = 0</t>
  </si>
  <si>
    <t>Fusion / filter state</t>
  </si>
  <si>
    <t>Estimate</t>
  </si>
  <si>
    <t>HAL handles, globals, .data/.bss</t>
  </si>
  <si>
    <t>DMA buffers</t>
  </si>
  <si>
    <t>Frame buffers</t>
  </si>
  <si>
    <t>Stack (MSP)</t>
  </si>
  <si>
    <t>Globals, HAL</t>
  </si>
  <si>
    <t>UBX parse buffer</t>
  </si>
  <si>
    <t>RAM used (B)</t>
  </si>
  <si>
    <t>DMA-capable RAM (B)</t>
  </si>
  <si>
    <t>Flash est. (KB)</t>
  </si>
  <si>
    <t>Flash size (KB)</t>
  </si>
  <si>
    <t>Flash util</t>
  </si>
  <si>
    <t>F405: 128 KB SRAM1+2 (DMA-capable) + 64 KB CCM (CPU only — put stacks/filter state there). Flash estimate: HAL + FreeRTOS + FatFs + app.</t>
  </si>
  <si>
    <t>G071CB: 36 KB SRAM, 128 KB Flash.</t>
  </si>
  <si>
    <t>Clock accuracy, time sync and latency budget</t>
  </si>
  <si>
    <t>Crystal error + baud quantization against UART receiver tolerance; drift between boards; GPS PPS discipline; sensor-to-log latency.</t>
  </si>
  <si>
    <t>1 · Crystal (YXC X322516MLB4SI, 16 MHz, CL 9 pF) — confirm grades on the datasheet</t>
  </si>
  <si>
    <t>Frequency tolerance @25 °C</t>
  </si>
  <si>
    <t>ppm</t>
  </si>
  <si>
    <t>Assumption; check part grade.</t>
  </si>
  <si>
    <t>Temperature stability</t>
  </si>
  <si>
    <t>Assumption over operating range.</t>
  </si>
  <si>
    <t>Aging (1 year)</t>
  </si>
  <si>
    <t>Assumption.</t>
  </si>
  <si>
    <t>Load-cap mismatch pull</t>
  </si>
  <si>
    <t>10 pF fitted vs 9 pF CL spec with ~3 pF stray: small pull. Estimate.</t>
  </si>
  <si>
    <t>Total worst-case error per board</t>
  </si>
  <si>
    <t>2 · UART / RS-485 baud budget</t>
  </si>
  <si>
    <t>Link</t>
  </si>
  <si>
    <t>TX alloc</t>
  </si>
  <si>
    <t>RX alloc</t>
  </si>
  <si>
    <t>TX baud err</t>
  </si>
  <si>
    <t>RX baud err</t>
  </si>
  <si>
    <t>Crystal (both)</t>
  </si>
  <si>
    <t>Edge distortion (ns)</t>
  </si>
  <si>
    <t>Distortion (as % of 10-bit frame)</t>
  </si>
  <si>
    <t>Total mismatch</t>
  </si>
  <si>
    <t>Receiver tolerance</t>
  </si>
  <si>
    <t>B1 UART4 → B2 USART3</t>
  </si>
  <si>
    <t>Stack header, 37 mm; Tolerance: RM0090/RM0444 give ≈3.3–3.75% for 16× oversampling; 3% used as derated.</t>
  </si>
  <si>
    <t>B2 USART3 → B1 UART4</t>
  </si>
  <si>
    <t>Tolerance: RM0090/RM0444 give ≈3.3–3.75% for 16× oversampling; 3% used as derated.</t>
  </si>
  <si>
    <t>B1 USART1 → B3 USART1 (RS-485)</t>
  </si>
  <si>
    <t>Driver skew + cable dispersion over ~0.6 m; Tolerance: RM0090/RM0444 give ≈3.3–3.75% for 16× oversampling; 3% used as derated.</t>
  </si>
  <si>
    <t>B3 USART1 → B1 USART1 (RS-485)</t>
  </si>
  <si>
    <t>3 · Inter-board time sync and GPS discipline</t>
  </si>
  <si>
    <t>Resync interval (B1 broadcasts time every loop)</t>
  </si>
  <si>
    <t>s</t>
  </si>
  <si>
    <t>Relative drift between two boards</t>
  </si>
  <si>
    <t>Drift accumulated between resyncs</t>
  </si>
  <si>
    <t>ISR latency jitter (B2/B3, 16 MHz M0+)</t>
  </si>
  <si>
    <t>Estimate: 16–30 cycles entry + HAL overhead.</t>
  </si>
  <si>
    <t>Sync error via SPI frame (latched at CS edge)</t>
  </si>
  <si>
    <t>Jitter + 1 timer tick + drift.</t>
  </si>
  <si>
    <t>Sync error via RS-485 (latched at IDLE)</t>
  </si>
  <si>
    <t>IDLE fires one character after the last byte: correct for it in firmware to remove the 10-bit term.</t>
  </si>
  <si>
    <t>MAX-M10S time pulse accuracy</t>
  </si>
  <si>
    <t>≈30 ns RMS per u-blox M10 spec (verify in datasheet).</t>
  </si>
  <si>
    <t>PPS capture resolution (B3 TIM3 tick)</t>
  </si>
  <si>
    <t>From SW_Timing_Budgets §5.</t>
  </si>
  <si>
    <t>Holdover drift after GPS loss, 60 s</t>
  </si>
  <si>
    <t>ppm × seconds = µs.</t>
  </si>
  <si>
    <t>4 · Latency budget (ms): sample → B1 and sample → SD</t>
  </si>
  <si>
    <t>Path</t>
  </si>
  <si>
    <t>Stage</t>
  </si>
  <si>
    <t>LSM6DSL → SD</t>
  </si>
  <si>
    <t>Sensor digital-filter group delay</t>
  </si>
  <si>
    <t>Input: ODR/LPF dependent (≈1/ODR × filter order).</t>
  </si>
  <si>
    <t>Wait for loop tick (worst)</t>
  </si>
  <si>
    <t>SPI2 read</t>
  </si>
  <si>
    <t>Fusion + pack</t>
  </si>
  <si>
    <t>Fill one f_write chunk</t>
  </si>
  <si>
    <t>SD block writes for one chunk</t>
  </si>
  <si>
    <t>Excludes stalls</t>
  </si>
  <si>
    <t>BMI323 (B2) → B1</t>
  </si>
  <si>
    <t>Sensor filter delay</t>
  </si>
  <si>
    <t>Input</t>
  </si>
  <si>
    <t>B2 SPI2 read</t>
  </si>
  <si>
    <t>Wait for next stack exchange (worst)</t>
  </si>
  <si>
    <t>Stack SPI1 frame</t>
  </si>
  <si>
    <t>GPS → B1</t>
  </si>
  <si>
    <t>Receiver solution latency</t>
  </si>
  <si>
    <t>Input: measurement epoch → NAV-PVT output (verify).</t>
  </si>
  <si>
    <t>Poll interval wait (worst)</t>
  </si>
  <si>
    <t>Removed by using GPS_INT</t>
  </si>
  <si>
    <t>I2C NAV-PVT read</t>
  </si>
  <si>
    <t>Wait for RS-485 slot + frame</t>
  </si>
  <si>
    <t>Total (ms)</t>
  </si>
  <si>
    <t>Budget (ms)</t>
  </si>
  <si>
    <t>Signal-integrity and link-margin budget</t>
  </si>
  <si>
    <t>Critical length, SPI round-trip timing limit, I2C rise time, RS-485 DC level at the receiver. Frequencies link to the allocation table.</t>
  </si>
  <si>
    <t>1 · Edge rate vs trace / cable length</t>
  </si>
  <si>
    <t>Length (mm)</t>
  </si>
  <si>
    <t>tpd (ps/mm)</t>
  </si>
  <si>
    <t>Driver tr (ns)</t>
  </si>
  <si>
    <t>Critical length (mm)</t>
  </si>
  <si>
    <t>Regime</t>
  </si>
  <si>
    <t>Signal freq (Hz)</t>
  </si>
  <si>
    <t>Half period (ns)</t>
  </si>
  <si>
    <t>Round trip (ns)</t>
  </si>
  <si>
    <t>Settle 3× RT (ns)</t>
  </si>
  <si>
    <t>Settle / half period</t>
  </si>
  <si>
    <t>B1 SPI2 → LSM6DSL</t>
  </si>
  <si>
    <t>Inner-layer/microstrip FR4 ≈ 6.2 ps/mm. CubeMX default pin speed is very high (~1 ns edges).</t>
  </si>
  <si>
    <t>B1 SPI1 → B2 (stack)</t>
  </si>
  <si>
    <t>Medium slew set in fixed .ioc; 22 Ω source series R fitted.</t>
  </si>
  <si>
    <t>B2 SPI2 → BMI323</t>
  </si>
  <si>
    <t>B1 UART4 ↔ B2 (stack)</t>
  </si>
  <si>
    <t>RS-485 cable B1 ↔ B3</t>
  </si>
  <si>
    <t>Twisted pair vp ≈ 0.66 c. Above critical length but settles in a tiny fraction of the bit at 1 Mbaud, so unterminated is acceptable at 2 ft.</t>
  </si>
  <si>
    <t>2 · SPI read-timing limit: f_max = 1 / (2 · (round trip + slave tv + master tsu))</t>
  </si>
  <si>
    <t>Slave tv(SO) (ns)</t>
  </si>
  <si>
    <t>Master tsu(MI) (ns)</t>
  </si>
  <si>
    <t>f_max (Hz)</t>
  </si>
  <si>
    <t>Configured (Hz)</t>
  </si>
  <si>
    <t>LSM6DSL tv(SO) 50 ns max (datasheet SPI timing). F4 tsu(MI) ≈ 5 ns (estimate).</t>
  </si>
  <si>
    <t>B1 SPI1 → B2 slave</t>
  </si>
  <si>
    <t>G071 slave tv(SO) assumed 30 ns; verify in G071 datasheet SPI table.</t>
  </si>
  <si>
    <t>BMI323 output delay assumed 25 ns; verify.</t>
  </si>
  <si>
    <t>3 · I2C rise time (tr = 0.8473 · Rp · Cb) and pull-up range</t>
  </si>
  <si>
    <t>Bus</t>
  </si>
  <si>
    <t>Rp (Ω)</t>
  </si>
  <si>
    <t>Cb (pF)</t>
  </si>
  <si>
    <t>VDD</t>
  </si>
  <si>
    <t>tr (ns)</t>
  </si>
  <si>
    <t>tr max (ns)</t>
  </si>
  <si>
    <t>Rp min (Ω)</t>
  </si>
  <si>
    <t>Rp max (Ω)</t>
  </si>
  <si>
    <t>B1 I2C1 (MMC5983MA)</t>
  </si>
  <si>
    <t>Cb estimate: device + traces + pins.</t>
  </si>
  <si>
    <t>B3 I2C1 (MAX-M10S)</t>
  </si>
  <si>
    <t>4 · RS-485 DC level at the receiver: V_rx = Vod · R_load / (R_load + series R in path)</t>
  </si>
  <si>
    <t>Scenario</t>
  </si>
  <si>
    <t>Driver Vod (V)</t>
  </si>
  <si>
    <t>Series R per board per line (Ω)</t>
  </si>
  <si>
    <t>Series R in loop (Ω)</t>
  </si>
  <si>
    <t>Terminators (120 Ω) fitted</t>
  </si>
  <si>
    <t>R_load (Ω)</t>
  </si>
  <si>
    <t>V_rx (V)</t>
  </si>
  <si>
    <t>Rx threshold (V)</t>
  </si>
  <si>
    <t>Margin ×</t>
  </si>
  <si>
    <t>As built: 100 Ω series, no terminators</t>
  </si>
  <si>
    <t>R2/R3 on B1, R11/R12 on B3: 4 resistors in the A–B loop. Series R acts as source termination.</t>
  </si>
  <si>
    <t>100 Ω series + one 120 Ω terminator</t>
  </si>
  <si>
    <t>Divider loses most of the swing.</t>
  </si>
  <si>
    <t>100 Ω series + two 120 Ω terminators</t>
  </si>
  <si>
    <t>Do not combine terminators with 100 Ω series.</t>
  </si>
  <si>
    <t>10 Ω series + two 120 Ω terminators</t>
  </si>
  <si>
    <t>If you terminate, drop series R to 0–10 Ω and add ~680 Ω failsafe bias (SP3485 is not true failsafe).</t>
  </si>
  <si>
    <t>GNSS RF link budget and clock-harmonic check</t>
  </si>
  <si>
    <t>C/N0 estimate via Friis cascade, and which on-board clock harmonics land inside GNSS bands. Clock frequencies link to SW_Timing_Budgets.</t>
  </si>
  <si>
    <t>1 · Link budget (GPS L1 C/A)</t>
  </si>
  <si>
    <t>Signal power at antenna</t>
  </si>
  <si>
    <t>dBm</t>
  </si>
  <si>
    <t>GPS L1 C/A ≈ −128.5 to −130 dBm at Earth surface (IS-GPS-200 minimum).</t>
  </si>
  <si>
    <t>Antenna element gain</t>
  </si>
  <si>
    <t>dBic</t>
  </si>
  <si>
    <t>Assumption: patch near zenith 3–5 dBic, low elevation negative.</t>
  </si>
  <si>
    <t>Active antenna LNA gain</t>
  </si>
  <si>
    <t>dB</t>
  </si>
  <si>
    <t>Assumption: from your antenna datasheet.</t>
  </si>
  <si>
    <t>Active antenna LNA noise figure</t>
  </si>
  <si>
    <t>Cable + connector loss</t>
  </si>
  <si>
    <t>Assumption: short RG-178 / U.FL-SMA.</t>
  </si>
  <si>
    <t>PCB trace + edge SMA loss</t>
  </si>
  <si>
    <t>Estimate for ~43 Ω trace a few mm long + SMA.</t>
  </si>
  <si>
    <t>Receiver noise figure (MAX-M10S)</t>
  </si>
  <si>
    <t>Assumption: not specified in the datasheet.</t>
  </si>
  <si>
    <t>System noise figure (Friis)</t>
  </si>
  <si>
    <t>F = F_LNA + (L·F_rx − 1)/G_LNA</t>
  </si>
  <si>
    <t>C/N0 estimate</t>
  </si>
  <si>
    <t>dB-Hz</t>
  </si>
  <si>
    <t>Good tracking ≥ 40 dB-Hz; acquisition degrades below ~35.</t>
  </si>
  <si>
    <t>Tracking target</t>
  </si>
  <si>
    <t>Net external gain at RF_IN</t>
  </si>
  <si>
    <t>Compare with the maximum external gain in the MAX-M10 integration manual (input below).</t>
  </si>
  <si>
    <t>Max external gain allowed</t>
  </si>
  <si>
    <t>Assumption — verify in the MAX-M10 integration manual.</t>
  </si>
  <si>
    <t>Gain check</t>
  </si>
  <si>
    <t>2 · GNSS bands</t>
  </si>
  <si>
    <t>Band</t>
  </si>
  <si>
    <t>Centre (MHz)</t>
  </si>
  <si>
    <t>Half-width (MHz)</t>
  </si>
  <si>
    <t>Tracked? (Y/N)</t>
  </si>
  <si>
    <t>GPS L1 / Galileo E1</t>
  </si>
  <si>
    <t>C/A main lobe ±1.023 MHz (E1 is wider, ±2.046)</t>
  </si>
  <si>
    <t>BeiDou B1I</t>
  </si>
  <si>
    <t>In the MAX-M10S default constellation set</t>
  </si>
  <si>
    <t>GLONASS L1</t>
  </si>
  <si>
    <t>1598.06–1605.38 MHz. Not in the default set; enabling it puts 1600 MHz (100 × 16 MHz) in band.</t>
  </si>
  <si>
    <t>3 · Clock harmonics vs GNSS bands (offset = n·f − band centre, n = nearest integer)</t>
  </si>
  <si>
    <t>Clock</t>
  </si>
  <si>
    <t>f (MHz)</t>
  </si>
  <si>
    <t>n (GPS L1)</t>
  </si>
  <si>
    <t>GPS L1 offset (MHz)</t>
  </si>
  <si>
    <t>B1I offset (MHz)</t>
  </si>
  <si>
    <t>GLO offset (MHz)</t>
  </si>
  <si>
    <t>In a band?</t>
  </si>
  <si>
    <t>Risk</t>
  </si>
  <si>
    <t>B1 SYSCLK</t>
  </si>
  <si>
    <t>B1 SPI2 SCK (LSM6DSL)</t>
  </si>
  <si>
    <t>8 MHz × 197 = 1576 MHz: inside GPS L1. Off-board from the GPS (cable), so low risk; keep it off B3.</t>
  </si>
  <si>
    <t>B1 SPI1 SCK (stack)</t>
  </si>
  <si>
    <t>B1 SDIO_CK</t>
  </si>
  <si>
    <t>B1 AP63203 switching</t>
  </si>
  <si>
    <t>Buck fsw 1.1 MHz (datasheet).</t>
  </si>
  <si>
    <t>B2 SYSCLK</t>
  </si>
  <si>
    <t>B2 SPI2 SCK (BMI323)</t>
  </si>
  <si>
    <t>B3 SYSCLK / HSE</t>
  </si>
  <si>
    <t>16 MHz × 98 = 1568 (7.4 MHz below L1, 6.9 above B1I) — clear but close; 64 MHz × 25 = 1600 lands in GLONASS.</t>
  </si>
  <si>
    <t>B3 I2C1 SCL</t>
  </si>
  <si>
    <t>Very high harmonic order, slow edges: negligible.</t>
  </si>
  <si>
    <t>B3 RS-485 1 Mbaud</t>
  </si>
  <si>
    <t>Only tracked bands count. Risk rule: HIGH = in band on Board 3 with harmonic order ≤ 200; MED = on B3 with order ≤ 1000, or any board with order ≤ 200; LOW = higher order (edge energy falls ~40 dB/decade above 1/(π·tr)).</t>
  </si>
  <si>
    <t>Magnetic interference budget (MMC5983MA, U3)</t>
  </si>
  <si>
    <t>Allowed error derived from the heading accuracy you need; battery-current field from a go/return wire-pair model; arming magnet on-axis cylinder field.</t>
  </si>
  <si>
    <t>1 · Allowed error</t>
  </si>
  <si>
    <t>Earth field, horizontal component</t>
  </si>
  <si>
    <t>µT</t>
  </si>
  <si>
    <t>Central Illinois ≈ 19–20 µT horizontal, ≈ 53 µT total (NOAA WMM). Edit for site.</t>
  </si>
  <si>
    <t>Heading accuracy target</t>
  </si>
  <si>
    <t>°</t>
  </si>
  <si>
    <t>Allowed static error from on-board sources</t>
  </si>
  <si>
    <t>Unknown-but-constant fields can be calibrated out (hard-iron); varying currents cannot.</t>
  </si>
  <si>
    <t>MMC5983MA full scale</t>
  </si>
  <si>
    <t>±8 G.</t>
  </si>
  <si>
    <t>2 · Current-carrying conductors near U3 (pair model: B = 2e-7·I·(1/d − 1/(d+s)))</t>
  </si>
  <si>
    <t>Current (mA)</t>
  </si>
  <si>
    <t>Distance d (mm)</t>
  </si>
  <si>
    <t>Pair spacing s (mm)</t>
  </si>
  <si>
    <t>Field (µT)</t>
  </si>
  <si>
    <t>Allowed (µT)</t>
  </si>
  <si>
    <t>Distance for allowed error (mm)</t>
  </si>
  <si>
    <t>Battery leads at J4 — typical draw</t>
  </si>
  <si>
    <t>Current from Power_Budget at minimum battery voltage. 6.6 mm = U3 to J4 today.</t>
  </si>
  <si>
    <t>Battery leads at J4 — max draw</t>
  </si>
  <si>
    <t>Battery leads at J4 — 1 A (your earlier worst-case guess)</t>
  </si>
  <si>
    <t>3V3 feed trace near U3 — typical</t>
  </si>
  <si>
    <t>Assumption: trace with return on plane ≈ 0.5 mm below.</t>
  </si>
  <si>
    <t>The "distance" column uses the far-field approximation d ≫ s. Twisting or tightly pairing battery leads shrinks s and the field with it.</t>
  </si>
  <si>
    <t>3 · Arming magnet (N52 cylinder, on-axis field B = Br/2 · [(L+z)/√(R²+(L+z)²) − z/√(R²+z²)])</t>
  </si>
  <si>
    <t>Remanence Br (N52)</t>
  </si>
  <si>
    <t>T</t>
  </si>
  <si>
    <t>Magnet radius</t>
  </si>
  <si>
    <t>mm</t>
  </si>
  <si>
    <t>6 mm diameter.</t>
  </si>
  <si>
    <t>Magnet length</t>
  </si>
  <si>
    <t>Distance (in)</t>
  </si>
  <si>
    <t>z (mm)</t>
  </si>
  <si>
    <t>Field (G)</t>
  </si>
  <si>
    <t>vs ±8 G FS</t>
  </si>
  <si>
    <t>Your stated closest approach</t>
  </si>
  <si>
    <t>Within range ≠ usable for heading: while the magnet is near, gate magnetometer data on |B| ≈ local Earth field and do a SET/RESET after it leaves.</t>
  </si>
  <si>
    <t>Thermal budget · Tj = Ta + P · θJA</t>
  </si>
  <si>
    <t>Power from Power_Budget (max case). θJA values are package typicals on a JEDEC board; your small 2-layer/4-layer board may be worse.</t>
  </si>
  <si>
    <t>Maximum ambient (payload bay)</t>
  </si>
  <si>
    <t>°C</t>
  </si>
  <si>
    <t>Required margin to Tj max</t>
  </si>
  <si>
    <t>Part / package</t>
  </si>
  <si>
    <t>θJA (°C/W)</t>
  </si>
  <si>
    <t>Tj (°C)</t>
  </si>
  <si>
    <t>Tj max (°C)</t>
  </si>
  <si>
    <t>Margin (°C)</t>
  </si>
  <si>
    <t>STM32F405 LQFP64</t>
  </si>
  <si>
    <t>θJA from DS8626 package data (verify); Tj max 105 °C for 6-suffix temp range.</t>
  </si>
  <si>
    <t>STM32G071 LQFP48</t>
  </si>
  <si>
    <t>θJA assumption; check G071 datasheet.</t>
  </si>
  <si>
    <t>U4</t>
  </si>
  <si>
    <t>AP63203 TSOT-23-6 (loss)</t>
  </si>
  <si>
    <t>Loss = Pout·(1/η − 1) at max load. θJA assumption.</t>
  </si>
  <si>
    <t>Q1</t>
  </si>
  <si>
    <t>AO3401A SOT-23 (I²R)</t>
  </si>
  <si>
    <t>RθJA 125 °C/W steady state (AO3401A datasheet, verify).</t>
  </si>
  <si>
    <t>SP3485 SOIC-8</t>
  </si>
  <si>
    <t>θJA assumption for SOIC-8.</t>
  </si>
  <si>
    <t>MAX-M10S module</t>
  </si>
  <si>
    <t>Module rated by ambient (−40…+85 °C): θJA set to 0, so this checks Ta.</t>
  </si>
  <si>
    <t>Pin map and EXTI-line check (from the three .ioc files + netlist)</t>
  </si>
  <si>
    <t>EXTI lines are shared by pin number across ports (PA6, PB6, PC6 → line 6). Set "EXTI?" to Y for every pin you want as an interrupt; clashes turn red.</t>
  </si>
  <si>
    <t>Pin</t>
  </si>
  <si>
    <t>Signal</t>
  </si>
  <si>
    <t>Label / net</t>
  </si>
  <si>
    <t>Pull / type</t>
  </si>
  <si>
    <t>EXTI?</t>
  </si>
  <si>
    <t>EXTI line</t>
  </si>
  <si>
    <t>EXTI check</t>
  </si>
  <si>
    <t>Connects to</t>
  </si>
  <si>
    <t>PA0</t>
  </si>
  <si>
    <t>pcMCU_TX</t>
  </si>
  <si>
    <t>out</t>
  </si>
  <si>
    <t>PP</t>
  </si>
  <si>
    <t>J10.5 → B2 PB8</t>
  </si>
  <si>
    <t>Label says "pcMCU" but it is the B2 link.</t>
  </si>
  <si>
    <t>PA1</t>
  </si>
  <si>
    <t>pcMCU_RX</t>
  </si>
  <si>
    <t>in</t>
  </si>
  <si>
    <t>J10.6 → B2 PB9</t>
  </si>
  <si>
    <t>PA3</t>
  </si>
  <si>
    <t>GPIO_Output</t>
  </si>
  <si>
    <t>GPIO_E</t>
  </si>
  <si>
    <t>GPIO</t>
  </si>
  <si>
    <t>B2 PB0 (E)</t>
  </si>
  <si>
    <t>PA5</t>
  </si>
  <si>
    <t>SPI1_SCK</t>
  </si>
  <si>
    <t>B2_CLK</t>
  </si>
  <si>
    <t>medium</t>
  </si>
  <si>
    <t>B2 PB3</t>
  </si>
  <si>
    <t>PA6</t>
  </si>
  <si>
    <t>SPI1_MISO</t>
  </si>
  <si>
    <t>B2_MISO</t>
  </si>
  <si>
    <t>B2 PB4</t>
  </si>
  <si>
    <t>PA7</t>
  </si>
  <si>
    <t>SPI1_MOSI</t>
  </si>
  <si>
    <t>B2_MOSI</t>
  </si>
  <si>
    <t>B2 PB5</t>
  </si>
  <si>
    <t>PB1</t>
  </si>
  <si>
    <t>B2_CS</t>
  </si>
  <si>
    <t>B2 PB6</t>
  </si>
  <si>
    <t>PB5</t>
  </si>
  <si>
    <t>RS485_MODE_SW</t>
  </si>
  <si>
    <t>U5 DE/RE</t>
  </si>
  <si>
    <t>Default low (receive).</t>
  </si>
  <si>
    <t>PB6</t>
  </si>
  <si>
    <t>RS485_TX</t>
  </si>
  <si>
    <t>U5 DI</t>
  </si>
  <si>
    <t>PB7</t>
  </si>
  <si>
    <t>RS485_RX</t>
  </si>
  <si>
    <t>U5 RO</t>
  </si>
  <si>
    <t>PB8</t>
  </si>
  <si>
    <t>I2C1_SCL</t>
  </si>
  <si>
    <t>MAG_SCL</t>
  </si>
  <si>
    <t>od</t>
  </si>
  <si>
    <t>2.7k ext</t>
  </si>
  <si>
    <t>PB9</t>
  </si>
  <si>
    <t>I2C1_SDA</t>
  </si>
  <si>
    <t>MAG_SDA</t>
  </si>
  <si>
    <t>PB11</t>
  </si>
  <si>
    <t>GPIO_A</t>
  </si>
  <si>
    <t>B2 PB11 (A)</t>
  </si>
  <si>
    <t>PB12</t>
  </si>
  <si>
    <t>LSM_CS</t>
  </si>
  <si>
    <t>U2 CS</t>
  </si>
  <si>
    <t>PB13</t>
  </si>
  <si>
    <t>SPI2_SCK</t>
  </si>
  <si>
    <t>LSM_CLK</t>
  </si>
  <si>
    <t>PB14</t>
  </si>
  <si>
    <t>SPI2_MISO</t>
  </si>
  <si>
    <t>LSM_MISO</t>
  </si>
  <si>
    <t>PB15</t>
  </si>
  <si>
    <t>SPI2_MOSI</t>
  </si>
  <si>
    <t>LSM_MOSI</t>
  </si>
  <si>
    <t>PC0</t>
  </si>
  <si>
    <t>GPIO_Input</t>
  </si>
  <si>
    <t>GPIO_D</t>
  </si>
  <si>
    <t>pull-down</t>
  </si>
  <si>
    <t>B2 PB1 (D)</t>
  </si>
  <si>
    <t>B2 side is also an input: nothing drives this line. Make one side an output.</t>
  </si>
  <si>
    <t>PC1</t>
  </si>
  <si>
    <t>GPIO_C</t>
  </si>
  <si>
    <t>B2 PB2 (C)</t>
  </si>
  <si>
    <t>Same: both ends inputs.</t>
  </si>
  <si>
    <t>PC2</t>
  </si>
  <si>
    <t>GPIO_B</t>
  </si>
  <si>
    <t>B2 PB10 (B)</t>
  </si>
  <si>
    <t>PC3</t>
  </si>
  <si>
    <t>USR_LED</t>
  </si>
  <si>
    <t>PC4</t>
  </si>
  <si>
    <t>GPIO_EXTI</t>
  </si>
  <si>
    <t>B2_INT</t>
  </si>
  <si>
    <t>EXTI</t>
  </si>
  <si>
    <t>B2 PB12</t>
  </si>
  <si>
    <t>B2 frame-ready interrupt.</t>
  </si>
  <si>
    <t>PC6</t>
  </si>
  <si>
    <t>LSM_INT1</t>
  </si>
  <si>
    <t>U2 INT1</t>
  </si>
  <si>
    <t>Data-ready.</t>
  </si>
  <si>
    <t>PC7</t>
  </si>
  <si>
    <t>LSM_INT2</t>
  </si>
  <si>
    <t>U2 INT2</t>
  </si>
  <si>
    <t>PC8</t>
  </si>
  <si>
    <t>SDIO_D0</t>
  </si>
  <si>
    <t>io</t>
  </si>
  <si>
    <t>RN1 10k</t>
  </si>
  <si>
    <t>PC9</t>
  </si>
  <si>
    <t>SDIO_D1</t>
  </si>
  <si>
    <t>PC10</t>
  </si>
  <si>
    <t>SDIO_D2</t>
  </si>
  <si>
    <t>PC11</t>
  </si>
  <si>
    <t>SDIO_D3</t>
  </si>
  <si>
    <t>PC12</t>
  </si>
  <si>
    <t>SDIO_CK</t>
  </si>
  <si>
    <t>PD2</t>
  </si>
  <si>
    <t>SDIO_CMD</t>
  </si>
  <si>
    <t>PC13</t>
  </si>
  <si>
    <t>U3 INT</t>
  </si>
  <si>
    <t>PC13 is a low-drive RTC-domain pin: input only, fine.</t>
  </si>
  <si>
    <t>PA13</t>
  </si>
  <si>
    <t>SWDIO</t>
  </si>
  <si>
    <t>SYS</t>
  </si>
  <si>
    <t>debug</t>
  </si>
  <si>
    <t>PA14</t>
  </si>
  <si>
    <t>SWCLK</t>
  </si>
  <si>
    <t>PA15</t>
  </si>
  <si>
    <t>(removed)</t>
  </si>
  <si>
    <t>SD_Detect</t>
  </si>
  <si>
    <t>Removed in fixed .ioc: J1 footprint has no detect pad.</t>
  </si>
  <si>
    <t>PA8</t>
  </si>
  <si>
    <t>BMI_CS</t>
  </si>
  <si>
    <t>U12 CSB</t>
  </si>
  <si>
    <t>PA9</t>
  </si>
  <si>
    <t>BMI_INT2</t>
  </si>
  <si>
    <t>U12 INT2</t>
  </si>
  <si>
    <t>Free EXTI line 9: good home for BMI data-ready if PC6 is needed elsewhere.</t>
  </si>
  <si>
    <t>PB0</t>
  </si>
  <si>
    <t>E</t>
  </si>
  <si>
    <t>B1 PA3</t>
  </si>
  <si>
    <t>D</t>
  </si>
  <si>
    <t>B1 PC0</t>
  </si>
  <si>
    <t>Both ends inputs.</t>
  </si>
  <si>
    <t>PB2</t>
  </si>
  <si>
    <t>C</t>
  </si>
  <si>
    <t>B1 PC1</t>
  </si>
  <si>
    <t>PB10</t>
  </si>
  <si>
    <t>B1 PC2</t>
  </si>
  <si>
    <t>A</t>
  </si>
  <si>
    <t>B1 PB11</t>
  </si>
  <si>
    <t>B1 PC4</t>
  </si>
  <si>
    <t>BMI_CLK</t>
  </si>
  <si>
    <t>BMI_MISO</t>
  </si>
  <si>
    <t>BMI_MOSI</t>
  </si>
  <si>
    <t>PB3</t>
  </si>
  <si>
    <t>B_CLK</t>
  </si>
  <si>
    <t>B1 PA5</t>
  </si>
  <si>
    <t>Slave</t>
  </si>
  <si>
    <t>PB4</t>
  </si>
  <si>
    <t>B_MISO</t>
  </si>
  <si>
    <t>B1 PA6</t>
  </si>
  <si>
    <t>B_MOSI</t>
  </si>
  <si>
    <t>B1 PA7</t>
  </si>
  <si>
    <t>B_CS</t>
  </si>
  <si>
    <t>B1 PB1</t>
  </si>
  <si>
    <t>If CS is used as an EXTI (frame sync), line 6 clashes with PC6 BMI_INT1. Fix: move BMI data-ready to INT2 (PA9) or don't interrupt on CS.</t>
  </si>
  <si>
    <t>USART3_TX→RX (swap)</t>
  </si>
  <si>
    <t>B2_MCU_RX</t>
  </si>
  <si>
    <t>B1 PA0</t>
  </si>
  <si>
    <t>USART3_RX→TX (swap)</t>
  </si>
  <si>
    <t>B2_MCU_TX</t>
  </si>
  <si>
    <t>B1 PA1</t>
  </si>
  <si>
    <t>BMI_INT1</t>
  </si>
  <si>
    <t>U12 INT1</t>
  </si>
  <si>
    <t>B2_USRLED</t>
  </si>
  <si>
    <t>GPS_LNA_EN</t>
  </si>
  <si>
    <t>U13 LNA_EN</t>
  </si>
  <si>
    <t>TIM3_CH1 (to set)</t>
  </si>
  <si>
    <t>GPS_TIMEPULSE</t>
  </si>
  <si>
    <t>U13 TIMEPULSE</t>
  </si>
  <si>
    <t>.ioc has GPIO_Input: change to TIM3_CH1 (AF1) for PPS capture.</t>
  </si>
  <si>
    <t>RS_485_MODE_SW</t>
  </si>
  <si>
    <t>U9 DE/RE</t>
  </si>
  <si>
    <t>USART1_TX→RX (swap)</t>
  </si>
  <si>
    <t>RS485_MCU_TX</t>
  </si>
  <si>
    <t>USART1_RX→TX (swap)</t>
  </si>
  <si>
    <t>RS485_MCU_RX</t>
  </si>
  <si>
    <t>GPS_SCL</t>
  </si>
  <si>
    <t>4.7k ext</t>
  </si>
  <si>
    <t>GPS_SDA</t>
  </si>
  <si>
    <t>GPS_INT</t>
  </si>
  <si>
    <t>U13 TXD/ready</t>
  </si>
  <si>
    <t>Use as TX-ready to replace I2C polling (T11).</t>
  </si>
  <si>
    <t>PC15</t>
  </si>
  <si>
    <t>GPIO_Output OD</t>
  </si>
  <si>
    <t>GPS_RST</t>
  </si>
  <si>
    <t>open-drain, idle high</t>
  </si>
  <si>
    <t>U13 RESET_N</t>
  </si>
  <si>
    <t>PD0</t>
  </si>
  <si>
    <t>Cost budget · JLCPCB assembly (from BOM-main.csv)</t>
  </si>
  <si>
    <t>Enter LCSC unit prices and confirm Basic/Extended on LCSC; fees are inputs because JLC pricing changes.</t>
  </si>
  <si>
    <t>Panels assembled</t>
  </si>
  <si>
    <t>pcs</t>
  </si>
  <si>
    <t>Each panel = one B1 + B2 + B3 set.</t>
  </si>
  <si>
    <t>Extended-part fee</t>
  </si>
  <si>
    <t>$ / unique part</t>
  </si>
  <si>
    <t>JLC loading fee per unique Extended part (verify current pricing).</t>
  </si>
  <si>
    <t>Assembly setup + stencil</t>
  </si>
  <si>
    <t>$</t>
  </si>
  <si>
    <t>Assumption: check the JLC quote.</t>
  </si>
  <si>
    <t>Designators</t>
  </si>
  <si>
    <t>LCSC</t>
  </si>
  <si>
    <t>Qty / set</t>
  </si>
  <si>
    <t>Basic / Extended</t>
  </si>
  <si>
    <t>Unit price ($)</t>
  </si>
  <si>
    <t>Ext. price ($)</t>
  </si>
  <si>
    <t>10</t>
  </si>
  <si>
    <t>R13</t>
  </si>
  <si>
    <t>C22859</t>
  </si>
  <si>
    <t>Basic?</t>
  </si>
  <si>
    <t>100</t>
  </si>
  <si>
    <t>R2,R3,R11,R12</t>
  </si>
  <si>
    <t>C22775</t>
  </si>
  <si>
    <t>Basic</t>
  </si>
  <si>
    <t>100k</t>
  </si>
  <si>
    <t>R1</t>
  </si>
  <si>
    <t>C25803</t>
  </si>
  <si>
    <t>10k</t>
  </si>
  <si>
    <t>R4,R5,R9,R10,R18,R19,R20</t>
  </si>
  <si>
    <t>C25804</t>
  </si>
  <si>
    <t>10k ×4 array</t>
  </si>
  <si>
    <t>C29718</t>
  </si>
  <si>
    <t>10n</t>
  </si>
  <si>
    <t>C43</t>
  </si>
  <si>
    <t>C57112</t>
  </si>
  <si>
    <t>10p C0G</t>
  </si>
  <si>
    <t>C47–C52</t>
  </si>
  <si>
    <t>C1634</t>
  </si>
  <si>
    <t>100n</t>
  </si>
  <si>
    <t>27 caps</t>
  </si>
  <si>
    <t>C14663</t>
  </si>
  <si>
    <t>10u 0603</t>
  </si>
  <si>
    <t>C24,C37,C41</t>
  </si>
  <si>
    <t>C19702</t>
  </si>
  <si>
    <t>10u 25V 0805</t>
  </si>
  <si>
    <t>C16</t>
  </si>
  <si>
    <t>C15850</t>
  </si>
  <si>
    <t>16 MHz xtal</t>
  </si>
  <si>
    <t>U6,U10,U11</t>
  </si>
  <si>
    <t>C13738</t>
  </si>
  <si>
    <t>?</t>
  </si>
  <si>
    <t>1k</t>
  </si>
  <si>
    <t>R8,R14,R15</t>
  </si>
  <si>
    <t>C21190</t>
  </si>
  <si>
    <t>1u</t>
  </si>
  <si>
    <t>C7,C8,C13,C25</t>
  </si>
  <si>
    <t>C15849</t>
  </si>
  <si>
    <t>2.2u</t>
  </si>
  <si>
    <t>C44,C45</t>
  </si>
  <si>
    <t>C23630</t>
  </si>
  <si>
    <t>2.7k</t>
  </si>
  <si>
    <t>R6,R7</t>
  </si>
  <si>
    <t>C13167</t>
  </si>
  <si>
    <t>22</t>
  </si>
  <si>
    <t>R21,R22,R23</t>
  </si>
  <si>
    <t>C23345</t>
  </si>
  <si>
    <t>22u</t>
  </si>
  <si>
    <t>C18,C21</t>
  </si>
  <si>
    <t>C59461</t>
  </si>
  <si>
    <t>27n</t>
  </si>
  <si>
    <t>L2</t>
  </si>
  <si>
    <t>C12669</t>
  </si>
  <si>
    <t>4.7k</t>
  </si>
  <si>
    <t>R16,R17</t>
  </si>
  <si>
    <t>C23162</t>
  </si>
  <si>
    <t>4.7u inductor</t>
  </si>
  <si>
    <t>L1</t>
  </si>
  <si>
    <t>C128688</t>
  </si>
  <si>
    <t>Footprint mismatch flagged in review.</t>
  </si>
  <si>
    <t>4.7u cap</t>
  </si>
  <si>
    <t>C1,C11,C15</t>
  </si>
  <si>
    <t>C19666</t>
  </si>
  <si>
    <t>AO3401A</t>
  </si>
  <si>
    <t>C15127</t>
  </si>
  <si>
    <t>AP63203WU</t>
  </si>
  <si>
    <t>C780769</t>
  </si>
  <si>
    <t>Extended</t>
  </si>
  <si>
    <t>C5368700</t>
  </si>
  <si>
    <t>LED red</t>
  </si>
  <si>
    <t>D1,D2,D3</t>
  </si>
  <si>
    <t>C84256</t>
  </si>
  <si>
    <t>C126672</t>
  </si>
  <si>
    <t>C404329</t>
  </si>
  <si>
    <t>microSD</t>
  </si>
  <si>
    <t>C164170</t>
  </si>
  <si>
    <t>SP3485EN</t>
  </si>
  <si>
    <t>U5,U9</t>
  </si>
  <si>
    <t>C8963</t>
  </si>
  <si>
    <t>STM32F405RGT6</t>
  </si>
  <si>
    <t>C15742</t>
  </si>
  <si>
    <t>STM32G071CBT6</t>
  </si>
  <si>
    <t>U7,U8</t>
  </si>
  <si>
    <t>C432212</t>
  </si>
  <si>
    <t>Unique Extended parts</t>
  </si>
  <si>
    <t>"?" rows are unverified; check each on LCSC.</t>
  </si>
  <si>
    <t>Extended fees</t>
  </si>
  <si>
    <t>Parts</t>
  </si>
  <si>
    <t>Blank unit prices count as $0.</t>
  </si>
  <si>
    <t>Assembly total (excl. PCB, shipping)</t>
  </si>
  <si>
    <t>Unpriced lines</t>
  </si>
  <si>
    <t>Summary and index</t>
  </si>
  <si>
    <t>Live headline numbers pulled from every budget, then the sheet map by category.</t>
  </si>
  <si>
    <t>Headline checks</t>
  </si>
  <si>
    <t>Where</t>
  </si>
  <si>
    <t>Loop rate target (Hz)</t>
  </si>
  <si>
    <t>SW_Timing_Budgets §1</t>
  </si>
  <si>
    <t>DMA stream conflicts</t>
  </si>
  <si>
    <t>SW_Timing_Budgets §4</t>
  </si>
  <si>
    <t>Peripheral setting violations</t>
  </si>
  <si>
    <t>SW_Timing_Budgets §3</t>
  </si>
  <si>
    <t>Worst bus utilization</t>
  </si>
  <si>
    <t>Interface_Data_Rates §3</t>
  </si>
  <si>
    <t>B1 CPU utilization</t>
  </si>
  <si>
    <t>CPU_Load §3</t>
  </si>
  <si>
    <t>B2 CPU utilization</t>
  </si>
  <si>
    <t>B3 CPU utilization</t>
  </si>
  <si>
    <t>B1 worst-cycle CPU critical path (µs)</t>
  </si>
  <si>
    <t>SW_Timing_Budgets §6</t>
  </si>
  <si>
    <t>Busiest loop-synchronous bus, worst cycle (µs)</t>
  </si>
  <si>
    <t>3V3 typical load (mA)</t>
  </si>
  <si>
    <t>Power_Budget §2</t>
  </si>
  <si>
    <t>Battery current, typical @ nominal (mA)</t>
  </si>
  <si>
    <t>Power_Budget §3</t>
  </si>
  <si>
    <t>Runtime on stated pack (h)</t>
  </si>
  <si>
    <t>EXTI line conflicts</t>
  </si>
  <si>
    <t>Pin_Map</t>
  </si>
  <si>
    <t>GNSS C/N0 estimate (dB-Hz)</t>
  </si>
  <si>
    <t>RF_GPS_Link</t>
  </si>
  <si>
    <t>Required SD log buffer (B)</t>
  </si>
  <si>
    <t>Memory_Logging §2</t>
  </si>
  <si>
    <t>Sheet map</t>
  </si>
  <si>
    <t>Category</t>
  </si>
  <si>
    <t>Sheet</t>
  </si>
  <si>
    <t>What it answers</t>
  </si>
  <si>
    <t>Software infrastructure</t>
  </si>
  <si>
    <t>SW_Timing_Budgets</t>
  </si>
  <si>
    <t>Clock tree, peripheral/DMA/timer allocation with conflict checks, per-cycle task timeline.</t>
  </si>
  <si>
    <t>Interface_Data_Rates</t>
  </si>
  <si>
    <t>Every message on every bus: time, rate, utilization, max loop rate per bus.</t>
  </si>
  <si>
    <t>CPU_Load</t>
  </si>
  <si>
    <t>ISR + task load per MCU, NVIC/FreeRTOS priority rules, SYSCLK needed.</t>
  </si>
  <si>
    <t>Memory_Logging</t>
  </si>
  <si>
    <t>Log volume, SD stall buffer, RAM/Flash per MCU.</t>
  </si>
  <si>
    <t>Pin → signal → peripheral, EXTI-line clashes, cross-board direction issues.</t>
  </si>
  <si>
    <t>Timing &amp; synchronization</t>
  </si>
  <si>
    <t>Clock_Sync_Accuracy</t>
  </si>
  <si>
    <t>Crystal ppm vs UART tolerance, inter-board sync error, GPS PPS, end-to-end latency.</t>
  </si>
  <si>
    <t>Electrical</t>
  </si>
  <si>
    <t>Power_Budget</t>
  </si>
  <si>
    <t>Per-component min/typ/max/peak current and power, buck and battery current, runtime, ratings.</t>
  </si>
  <si>
    <t>Thermal</t>
  </si>
  <si>
    <t>Junction temperature per hot part at max ambient.</t>
  </si>
  <si>
    <t>Signal / RF / EMC</t>
  </si>
  <si>
    <t>Link_Margin_SI</t>
  </si>
  <si>
    <t>Critical length, SPI timing limit, I2C rise time, RS-485 receiver level per termination option.</t>
  </si>
  <si>
    <t>GNSS C/N0 cascade and clock harmonics landing in GNSS bands.</t>
  </si>
  <si>
    <t>Magnetic_Interference</t>
  </si>
  <si>
    <t>Battery-current field at U3, arming-magnet field vs full scale, distance needed.</t>
  </si>
  <si>
    <t>Program</t>
  </si>
  <si>
    <t>Cost_BOM</t>
  </si>
  <si>
    <t>JLC assembly cost from the BOM, Extended-part fees.</t>
  </si>
  <si>
    <t>Solve by setting 1 sample every few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</si>
</sst>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"/>
    <numFmt numFmtId="165" formatCode="0.0%"/>
    <numFmt numFmtId="166" formatCode="#,##0.000"/>
    <numFmt numFmtId="167" formatCode="#,##0.000000"/>
    <numFmt numFmtId="168" formatCode="0.000"/>
    <numFmt numFmtId="169" formatCode="0.0"/>
    <numFmt numFmtId="170" formatCode="0.000%"/>
    <numFmt numFmtId="171" formatCode="0.0000"/>
    <numFmt numFmtId="172" formatCode="\$#,##0.00"/>
    <numFmt numFmtId="173" formatCode="\$#,##0.0000"/>
    <numFmt numFmtId="174" formatCode="#,##0.0##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3" fontId="5" fillId="3" borderId="1" xfId="0" applyNumberFormat="1" applyFont="1" applyFill="1" applyBorder="1" applyAlignment="1">
      <alignment horizontal="right"/>
    </xf>
    <xf numFmtId="0" fontId="6" fillId="0" borderId="0" xfId="0" applyFont="1"/>
    <xf numFmtId="164" fontId="6" fillId="0" borderId="1" xfId="0" applyNumberFormat="1" applyFont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1" fontId="6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10" fontId="6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167" fontId="6" fillId="0" borderId="1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8" fontId="6" fillId="0" borderId="1" xfId="0" applyNumberFormat="1" applyFont="1" applyBorder="1" applyAlignment="1">
      <alignment vertical="top" wrapText="1"/>
    </xf>
    <xf numFmtId="168" fontId="8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8" fontId="5" fillId="3" borderId="1" xfId="0" applyNumberFormat="1" applyFont="1" applyFill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2" fontId="5" fillId="3" borderId="1" xfId="0" applyNumberFormat="1" applyFont="1" applyFill="1" applyBorder="1" applyAlignment="1">
      <alignment horizontal="right"/>
    </xf>
    <xf numFmtId="169" fontId="5" fillId="3" borderId="1" xfId="0" applyNumberFormat="1" applyFont="1" applyFill="1" applyBorder="1" applyAlignment="1">
      <alignment horizontal="right"/>
    </xf>
    <xf numFmtId="169" fontId="5" fillId="3" borderId="1" xfId="0" applyNumberFormat="1" applyFont="1" applyFill="1" applyBorder="1" applyAlignment="1">
      <alignment vertical="top" wrapText="1"/>
    </xf>
    <xf numFmtId="165" fontId="5" fillId="3" borderId="1" xfId="0" applyNumberFormat="1" applyFont="1" applyFill="1" applyBorder="1" applyAlignment="1">
      <alignment vertical="top" wrapText="1"/>
    </xf>
    <xf numFmtId="168" fontId="5" fillId="3" borderId="1" xfId="0" applyNumberFormat="1" applyFont="1" applyFill="1" applyBorder="1" applyAlignment="1">
      <alignment horizontal="right"/>
    </xf>
    <xf numFmtId="4" fontId="5" fillId="3" borderId="1" xfId="0" applyNumberFormat="1" applyFont="1" applyFill="1" applyBorder="1" applyAlignment="1">
      <alignment horizontal="right"/>
    </xf>
    <xf numFmtId="4" fontId="5" fillId="3" borderId="1" xfId="0" applyNumberFormat="1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4" fontId="8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2" fontId="6" fillId="5" borderId="1" xfId="0" applyNumberFormat="1" applyFont="1" applyFill="1" applyBorder="1" applyAlignment="1">
      <alignment vertical="top" wrapText="1"/>
    </xf>
    <xf numFmtId="4" fontId="6" fillId="5" borderId="1" xfId="0" applyNumberFormat="1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horizontal="right"/>
    </xf>
    <xf numFmtId="1" fontId="6" fillId="5" borderId="1" xfId="0" applyNumberFormat="1" applyFont="1" applyFill="1" applyBorder="1" applyAlignment="1">
      <alignment vertical="top" wrapText="1"/>
    </xf>
    <xf numFmtId="3" fontId="6" fillId="5" borderId="1" xfId="0" applyNumberFormat="1" applyFont="1" applyFill="1" applyBorder="1" applyAlignment="1">
      <alignment vertical="top" wrapText="1"/>
    </xf>
    <xf numFmtId="164" fontId="8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170" fontId="8" fillId="0" borderId="1" xfId="0" applyNumberFormat="1" applyFont="1" applyBorder="1" applyAlignment="1">
      <alignment vertical="top" wrapText="1"/>
    </xf>
    <xf numFmtId="170" fontId="6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71" fontId="8" fillId="0" borderId="1" xfId="0" applyNumberFormat="1" applyFont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169" fontId="5" fillId="0" borderId="1" xfId="0" applyNumberFormat="1" applyFont="1" applyBorder="1" applyAlignment="1">
      <alignment vertical="top" wrapText="1"/>
    </xf>
    <xf numFmtId="169" fontId="6" fillId="0" borderId="1" xfId="0" applyNumberFormat="1" applyFont="1" applyBorder="1" applyAlignment="1">
      <alignment vertical="top" wrapText="1"/>
    </xf>
    <xf numFmtId="2" fontId="8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6" fillId="0" borderId="1" xfId="0" applyNumberFormat="1" applyFont="1" applyBorder="1" applyAlignment="1">
      <alignment horizontal="right"/>
    </xf>
    <xf numFmtId="168" fontId="5" fillId="0" borderId="1" xfId="0" applyNumberFormat="1" applyFont="1" applyBorder="1" applyAlignment="1">
      <alignment vertical="top" wrapText="1"/>
    </xf>
    <xf numFmtId="168" fontId="6" fillId="0" borderId="1" xfId="0" applyNumberFormat="1" applyFont="1" applyBorder="1" applyAlignment="1">
      <alignment horizontal="right"/>
    </xf>
    <xf numFmtId="172" fontId="5" fillId="3" borderId="1" xfId="0" applyNumberFormat="1" applyFont="1" applyFill="1" applyBorder="1" applyAlignment="1">
      <alignment horizontal="right"/>
    </xf>
    <xf numFmtId="173" fontId="5" fillId="3" borderId="1" xfId="0" applyNumberFormat="1" applyFont="1" applyFill="1" applyBorder="1" applyAlignment="1">
      <alignment vertical="top" wrapText="1"/>
    </xf>
    <xf numFmtId="172" fontId="6" fillId="0" borderId="1" xfId="0" applyNumberFormat="1" applyFont="1" applyBorder="1" applyAlignment="1">
      <alignment vertical="top" wrapText="1"/>
    </xf>
    <xf numFmtId="1" fontId="6" fillId="0" borderId="1" xfId="0" applyNumberFormat="1" applyFont="1" applyBorder="1" applyAlignment="1">
      <alignment horizontal="right"/>
    </xf>
    <xf numFmtId="172" fontId="6" fillId="0" borderId="1" xfId="0" applyNumberFormat="1" applyFont="1" applyBorder="1" applyAlignment="1">
      <alignment horizontal="right"/>
    </xf>
    <xf numFmtId="174" fontId="8" fillId="0" borderId="1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87"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548235"/>
      <rgbColor rgb="FF0061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597"/>
    <pageSetUpPr fitToPage="1"/>
  </sheetPr>
  <dimension ref="A1:U12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8" sqref="D8"/>
    </sheetView>
  </sheetViews>
  <sheetFormatPr defaultColWidth="8.6640625" defaultRowHeight="14.4" x14ac:dyDescent="0.3"/>
  <cols>
    <col min="1" max="1" width="11" customWidth="1"/>
    <col min="2" max="2" width="8" customWidth="1"/>
    <col min="3" max="3" width="20" customWidth="1"/>
    <col min="4" max="4" width="16" customWidth="1"/>
    <col min="5" max="5" width="10" customWidth="1"/>
    <col min="6" max="7" width="9" customWidth="1"/>
    <col min="8" max="8" width="16" customWidth="1"/>
    <col min="9" max="9" width="9" customWidth="1"/>
    <col min="10" max="10" width="10" customWidth="1"/>
    <col min="11" max="11" width="12" customWidth="1"/>
    <col min="12" max="12" width="8" customWidth="1"/>
    <col min="13" max="13" width="12" customWidth="1"/>
    <col min="14" max="14" width="10" customWidth="1"/>
    <col min="15" max="15" width="22" customWidth="1"/>
    <col min="16" max="16" width="24" customWidth="1"/>
    <col min="17" max="19" width="26" customWidth="1"/>
    <col min="20" max="20" width="6" customWidth="1"/>
    <col min="21" max="21" width="60" customWidth="1"/>
  </cols>
  <sheetData>
    <row r="1" spans="1:21" ht="17.399999999999999" x14ac:dyDescent="0.3">
      <c r="A1" s="1" t="s">
        <v>0</v>
      </c>
    </row>
    <row r="2" spans="1:21" x14ac:dyDescent="0.3">
      <c r="A2" s="2" t="s">
        <v>1</v>
      </c>
    </row>
    <row r="3" spans="1:21" x14ac:dyDescent="0.3">
      <c r="A3" s="2" t="s">
        <v>2</v>
      </c>
    </row>
    <row r="5" spans="1:21" x14ac:dyDescent="0.3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">
      <c r="A6" s="5" t="s">
        <v>4</v>
      </c>
      <c r="D6" s="6">
        <v>1000</v>
      </c>
      <c r="E6" s="7" t="s">
        <v>5</v>
      </c>
      <c r="F6" s="2" t="s">
        <v>6</v>
      </c>
    </row>
    <row r="7" spans="1:21" x14ac:dyDescent="0.3">
      <c r="A7" s="5" t="s">
        <v>7</v>
      </c>
      <c r="D7" s="6">
        <v>100</v>
      </c>
      <c r="E7" s="7" t="s">
        <v>5</v>
      </c>
      <c r="F7" s="2" t="s">
        <v>8</v>
      </c>
    </row>
    <row r="8" spans="1:21" x14ac:dyDescent="0.3">
      <c r="A8" s="5" t="s">
        <v>9</v>
      </c>
      <c r="D8" s="8">
        <f>1000000/LoopHz</f>
        <v>1000</v>
      </c>
      <c r="E8" s="7" t="s">
        <v>10</v>
      </c>
      <c r="F8" s="2" t="s">
        <v>11</v>
      </c>
    </row>
    <row r="9" spans="1:21" x14ac:dyDescent="0.3">
      <c r="A9" s="5" t="s">
        <v>12</v>
      </c>
      <c r="D9" s="9">
        <v>0.6</v>
      </c>
      <c r="E9" s="7"/>
      <c r="F9" s="2" t="s">
        <v>13</v>
      </c>
    </row>
    <row r="10" spans="1:21" x14ac:dyDescent="0.3">
      <c r="A10" s="5" t="s">
        <v>14</v>
      </c>
      <c r="D10" s="9">
        <v>0.7</v>
      </c>
      <c r="E10" s="7"/>
      <c r="F10" s="2" t="s">
        <v>15</v>
      </c>
    </row>
    <row r="11" spans="1:21" x14ac:dyDescent="0.3">
      <c r="A11" s="5" t="s">
        <v>16</v>
      </c>
      <c r="D11" s="6">
        <v>1000</v>
      </c>
      <c r="E11" s="7" t="s">
        <v>5</v>
      </c>
      <c r="F11" s="2" t="s">
        <v>17</v>
      </c>
    </row>
    <row r="12" spans="1:21" x14ac:dyDescent="0.3">
      <c r="A12" s="5" t="s">
        <v>18</v>
      </c>
      <c r="D12" s="6">
        <v>10</v>
      </c>
      <c r="E12" s="7" t="s">
        <v>5</v>
      </c>
      <c r="F12" s="2" t="s">
        <v>19</v>
      </c>
    </row>
    <row r="13" spans="1:21" x14ac:dyDescent="0.3">
      <c r="A13" s="5" t="s">
        <v>20</v>
      </c>
      <c r="D13" s="10">
        <v>48</v>
      </c>
      <c r="E13" s="7" t="s">
        <v>21</v>
      </c>
      <c r="F13" s="2" t="s">
        <v>22</v>
      </c>
    </row>
    <row r="14" spans="1:21" x14ac:dyDescent="0.3">
      <c r="A14" s="5" t="s">
        <v>23</v>
      </c>
      <c r="D14" s="11" t="str">
        <f>IF(LoopHz&gt;=LoopMinHz,"OK","BELOW MIN")</f>
        <v>OK</v>
      </c>
    </row>
    <row r="16" spans="1:21" x14ac:dyDescent="0.3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42" customHeight="1" x14ac:dyDescent="0.3">
      <c r="A17" s="12" t="s">
        <v>25</v>
      </c>
      <c r="B17" s="12" t="s">
        <v>26</v>
      </c>
      <c r="C17" s="12" t="s">
        <v>27</v>
      </c>
      <c r="D17" s="12" t="s">
        <v>28</v>
      </c>
      <c r="E17" s="12" t="s">
        <v>29</v>
      </c>
      <c r="F17" s="12" t="s">
        <v>30</v>
      </c>
      <c r="G17" s="12" t="s">
        <v>31</v>
      </c>
      <c r="H17" s="12" t="s">
        <v>32</v>
      </c>
      <c r="I17" s="12" t="s">
        <v>33</v>
      </c>
      <c r="J17" s="12" t="s">
        <v>34</v>
      </c>
      <c r="K17" s="12" t="s">
        <v>35</v>
      </c>
      <c r="L17" s="12" t="s">
        <v>36</v>
      </c>
      <c r="M17" s="12" t="s">
        <v>37</v>
      </c>
      <c r="N17" s="12" t="s">
        <v>38</v>
      </c>
      <c r="O17" s="12" t="s">
        <v>39</v>
      </c>
      <c r="P17" s="12" t="s">
        <v>40</v>
      </c>
      <c r="Q17" s="12" t="s">
        <v>41</v>
      </c>
      <c r="R17" s="12" t="s">
        <v>42</v>
      </c>
    </row>
    <row r="18" spans="1:21" ht="105.6" x14ac:dyDescent="0.3">
      <c r="A18" s="13" t="s">
        <v>43</v>
      </c>
      <c r="B18" s="13" t="s">
        <v>44</v>
      </c>
      <c r="C18" s="13" t="s">
        <v>45</v>
      </c>
      <c r="D18" s="14">
        <v>16</v>
      </c>
      <c r="E18" s="15">
        <v>16</v>
      </c>
      <c r="F18" s="16">
        <v>1</v>
      </c>
      <c r="G18" s="16">
        <v>1</v>
      </c>
      <c r="H18" s="16">
        <v>1</v>
      </c>
      <c r="I18" s="17">
        <f>E18/F18</f>
        <v>16</v>
      </c>
      <c r="J18" s="17">
        <f>I18/G18</f>
        <v>16</v>
      </c>
      <c r="K18" s="17">
        <f>I18/H18</f>
        <v>16</v>
      </c>
      <c r="L18" s="17">
        <f t="shared" ref="L18:M20" si="0">IF(G18=1,J18,2*J18)</f>
        <v>16</v>
      </c>
      <c r="M18" s="17">
        <f t="shared" si="0"/>
        <v>16</v>
      </c>
      <c r="N18" s="14">
        <v>168</v>
      </c>
      <c r="O18" s="14">
        <v>42</v>
      </c>
      <c r="P18" s="14">
        <v>84</v>
      </c>
      <c r="Q18" s="13" t="str">
        <f>IF(AND(E18&lt;=N18,J18&lt;=O18,K18&lt;=P18),"OK","LIMIT")</f>
        <v>OK</v>
      </c>
      <c r="R18" s="13" t="s">
        <v>46</v>
      </c>
    </row>
    <row r="19" spans="1:21" ht="52.8" x14ac:dyDescent="0.3">
      <c r="A19" s="13" t="s">
        <v>47</v>
      </c>
      <c r="B19" s="13" t="s">
        <v>48</v>
      </c>
      <c r="C19" s="13" t="s">
        <v>45</v>
      </c>
      <c r="D19" s="14">
        <v>16</v>
      </c>
      <c r="E19" s="15">
        <v>16</v>
      </c>
      <c r="F19" s="16">
        <v>1</v>
      </c>
      <c r="G19" s="16">
        <v>1</v>
      </c>
      <c r="H19" s="18">
        <f>G19</f>
        <v>1</v>
      </c>
      <c r="I19" s="17">
        <f>E19/F19</f>
        <v>16</v>
      </c>
      <c r="J19" s="17">
        <f>I19/G19</f>
        <v>16</v>
      </c>
      <c r="K19" s="17">
        <f>I19/H19</f>
        <v>16</v>
      </c>
      <c r="L19" s="17">
        <f t="shared" si="0"/>
        <v>16</v>
      </c>
      <c r="M19" s="17">
        <f t="shared" si="0"/>
        <v>16</v>
      </c>
      <c r="N19" s="14">
        <v>64</v>
      </c>
      <c r="O19" s="14">
        <v>64</v>
      </c>
      <c r="P19" s="14">
        <v>64</v>
      </c>
      <c r="Q19" s="13" t="str">
        <f>IF(AND(E19&lt;=N19,J19&lt;=O19,K19&lt;=P19),"OK","LIMIT")</f>
        <v>OK</v>
      </c>
      <c r="R19" s="13" t="s">
        <v>49</v>
      </c>
    </row>
    <row r="20" spans="1:21" ht="26.4" x14ac:dyDescent="0.3">
      <c r="A20" s="13" t="s">
        <v>50</v>
      </c>
      <c r="B20" s="13" t="s">
        <v>48</v>
      </c>
      <c r="C20" s="13" t="s">
        <v>45</v>
      </c>
      <c r="D20" s="14">
        <v>16</v>
      </c>
      <c r="E20" s="15">
        <v>16</v>
      </c>
      <c r="F20" s="16">
        <v>1</v>
      </c>
      <c r="G20" s="16">
        <v>1</v>
      </c>
      <c r="H20" s="18">
        <f>G20</f>
        <v>1</v>
      </c>
      <c r="I20" s="17">
        <f>E20/F20</f>
        <v>16</v>
      </c>
      <c r="J20" s="17">
        <f>I20/G20</f>
        <v>16</v>
      </c>
      <c r="K20" s="17">
        <f>I20/H20</f>
        <v>16</v>
      </c>
      <c r="L20" s="17">
        <f t="shared" si="0"/>
        <v>16</v>
      </c>
      <c r="M20" s="17">
        <f t="shared" si="0"/>
        <v>16</v>
      </c>
      <c r="N20" s="14">
        <v>64</v>
      </c>
      <c r="O20" s="14">
        <v>64</v>
      </c>
      <c r="P20" s="14">
        <v>64</v>
      </c>
      <c r="Q20" s="13" t="str">
        <f>IF(AND(E20&lt;=N20,J20&lt;=O20,K20&lt;=P20),"OK","LIMIT")</f>
        <v>OK</v>
      </c>
      <c r="R20" s="13" t="s">
        <v>51</v>
      </c>
    </row>
    <row r="22" spans="1:21" x14ac:dyDescent="0.3">
      <c r="A22" s="3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42" customHeight="1" x14ac:dyDescent="0.3">
      <c r="A23" s="12" t="s">
        <v>53</v>
      </c>
      <c r="B23" s="12" t="s">
        <v>25</v>
      </c>
      <c r="C23" s="12" t="s">
        <v>54</v>
      </c>
      <c r="D23" s="12" t="s">
        <v>55</v>
      </c>
      <c r="E23" s="12" t="s">
        <v>56</v>
      </c>
      <c r="F23" s="12" t="s">
        <v>57</v>
      </c>
      <c r="G23" s="12" t="s">
        <v>58</v>
      </c>
      <c r="H23" s="12" t="s">
        <v>59</v>
      </c>
      <c r="I23" s="12" t="s">
        <v>60</v>
      </c>
      <c r="J23" s="12" t="s">
        <v>61</v>
      </c>
      <c r="K23" s="12" t="s">
        <v>62</v>
      </c>
      <c r="L23" s="12" t="s">
        <v>63</v>
      </c>
      <c r="M23" s="12" t="s">
        <v>64</v>
      </c>
      <c r="N23" s="12" t="s">
        <v>41</v>
      </c>
      <c r="O23" s="12" t="s">
        <v>65</v>
      </c>
      <c r="P23" s="12" t="s">
        <v>66</v>
      </c>
      <c r="Q23" s="12" t="s">
        <v>67</v>
      </c>
      <c r="R23" s="12" t="s">
        <v>68</v>
      </c>
      <c r="S23" s="12" t="s">
        <v>69</v>
      </c>
      <c r="T23" s="12" t="s">
        <v>70</v>
      </c>
      <c r="U23" s="12" t="s">
        <v>42</v>
      </c>
    </row>
    <row r="24" spans="1:21" ht="26.4" x14ac:dyDescent="0.3">
      <c r="A24" s="13" t="s">
        <v>71</v>
      </c>
      <c r="B24" s="13" t="s">
        <v>43</v>
      </c>
      <c r="C24" s="13" t="s">
        <v>72</v>
      </c>
      <c r="D24" s="13" t="s">
        <v>73</v>
      </c>
      <c r="E24" s="19" t="s">
        <v>74</v>
      </c>
      <c r="F24" s="19" t="s">
        <v>75</v>
      </c>
      <c r="G24" s="17">
        <f t="shared" ref="G24:G34" si="1">IF(F24="SDIO",SdioMHz,IF(F24="APB2",INDEX(CLK_P2,MATCH(B24,CLK_Board,0)),INDEX(CLK_P1,MATCH(B24,CLK_Board,0))))</f>
        <v>16</v>
      </c>
      <c r="H24" s="13" t="s">
        <v>76</v>
      </c>
      <c r="I24" s="19" t="s">
        <v>77</v>
      </c>
      <c r="J24" s="20">
        <v>2</v>
      </c>
      <c r="K24" s="21">
        <f t="shared" ref="K24:K29" si="2">IF(I24="Prescaler",G24*1000000/J24,IF(I24="Baud",G24*1000000/ROUND(G24*1000000/J24,0),IF(I24="SCL",J24,IF(I24="CLKDIV",G24*1000000/(J24+2),""))))</f>
        <v>8000000</v>
      </c>
      <c r="L24" s="22" t="str">
        <f t="shared" ref="L24:L34" si="3">IF(I24="Baud",K24/J24-1,"")</f>
        <v/>
      </c>
      <c r="M24" s="23">
        <v>10000000</v>
      </c>
      <c r="N24" s="13" t="str">
        <f t="shared" ref="N24:N34" si="4">IF(K24&gt;M24,"EXCEEDS",IF(I24="Baud",IF(ABS(L24)&gt;0.01,"BAUD ERR","OK"),"OK"))</f>
        <v>OK</v>
      </c>
      <c r="O24" s="13" t="s">
        <v>78</v>
      </c>
      <c r="P24" s="13" t="s">
        <v>79</v>
      </c>
      <c r="Q24" s="13" t="str">
        <f t="shared" ref="Q24:Q34" si="5">IFERROR(INDEX(DMA_Text,MATCH(A24&amp;"|RX",DMA_Key,0)),"—")</f>
        <v>DMA1 Stream3 ch0 · Normal · High</v>
      </c>
      <c r="R24" s="13" t="str">
        <f t="shared" ref="R24:R34" si="6">IFERROR(INDEX(DMA_Text,MATCH(A24&amp;"|TX",DMA_Key,0)),"—")</f>
        <v>DMA1 Stream4 ch0 · Normal · High</v>
      </c>
      <c r="S24" s="13" t="s">
        <v>80</v>
      </c>
      <c r="T24" s="16">
        <v>5</v>
      </c>
      <c r="U24" s="13" t="s">
        <v>81</v>
      </c>
    </row>
    <row r="25" spans="1:21" ht="26.4" x14ac:dyDescent="0.3">
      <c r="A25" s="13" t="s">
        <v>82</v>
      </c>
      <c r="B25" s="13" t="s">
        <v>43</v>
      </c>
      <c r="C25" s="13" t="s">
        <v>83</v>
      </c>
      <c r="D25" s="13" t="s">
        <v>84</v>
      </c>
      <c r="E25" s="19" t="s">
        <v>85</v>
      </c>
      <c r="F25" s="19" t="s">
        <v>75</v>
      </c>
      <c r="G25" s="17">
        <f t="shared" si="1"/>
        <v>16</v>
      </c>
      <c r="H25" s="13" t="s">
        <v>86</v>
      </c>
      <c r="I25" s="19" t="s">
        <v>87</v>
      </c>
      <c r="J25" s="20">
        <v>400000</v>
      </c>
      <c r="K25" s="21">
        <f t="shared" si="2"/>
        <v>400000</v>
      </c>
      <c r="L25" s="22" t="str">
        <f t="shared" si="3"/>
        <v/>
      </c>
      <c r="M25" s="23">
        <v>400000</v>
      </c>
      <c r="N25" s="13" t="str">
        <f t="shared" si="4"/>
        <v>OK</v>
      </c>
      <c r="O25" s="13" t="s">
        <v>88</v>
      </c>
      <c r="P25" s="13" t="s">
        <v>89</v>
      </c>
      <c r="Q25" s="13" t="str">
        <f t="shared" si="5"/>
        <v>DMA1 Stream0 ch1 · Normal · Medium</v>
      </c>
      <c r="R25" s="13" t="str">
        <f t="shared" si="6"/>
        <v>DMA1 Stream6 ch1 · Normal · Low</v>
      </c>
      <c r="S25" s="13" t="s">
        <v>90</v>
      </c>
      <c r="T25" s="16">
        <v>5</v>
      </c>
      <c r="U25" s="13" t="s">
        <v>91</v>
      </c>
    </row>
    <row r="26" spans="1:21" ht="39.6" x14ac:dyDescent="0.3">
      <c r="A26" s="13" t="s">
        <v>92</v>
      </c>
      <c r="B26" s="13" t="s">
        <v>43</v>
      </c>
      <c r="C26" s="13" t="s">
        <v>93</v>
      </c>
      <c r="D26" s="13" t="s">
        <v>94</v>
      </c>
      <c r="E26" s="19" t="s">
        <v>95</v>
      </c>
      <c r="F26" s="19" t="s">
        <v>96</v>
      </c>
      <c r="G26" s="17">
        <f t="shared" si="1"/>
        <v>16</v>
      </c>
      <c r="H26" s="13" t="s">
        <v>97</v>
      </c>
      <c r="I26" s="19" t="s">
        <v>77</v>
      </c>
      <c r="J26" s="20">
        <v>8</v>
      </c>
      <c r="K26" s="21">
        <f t="shared" si="2"/>
        <v>2000000</v>
      </c>
      <c r="L26" s="22" t="str">
        <f t="shared" si="3"/>
        <v/>
      </c>
      <c r="M26" s="21">
        <f>MIN(8000000,INDEX(CLK_P1,MATCH("B2",CLK_Board,0))*1000000/4)</f>
        <v>4000000</v>
      </c>
      <c r="N26" s="13" t="str">
        <f t="shared" si="4"/>
        <v>OK</v>
      </c>
      <c r="O26" s="13" t="s">
        <v>98</v>
      </c>
      <c r="P26" s="13" t="s">
        <v>99</v>
      </c>
      <c r="Q26" s="13" t="str">
        <f t="shared" si="5"/>
        <v>DMA2 Stream0 ch3 · Normal · High</v>
      </c>
      <c r="R26" s="13" t="str">
        <f t="shared" si="6"/>
        <v>DMA2 Stream5 ch3 · Normal · High</v>
      </c>
      <c r="S26" s="13" t="s">
        <v>100</v>
      </c>
      <c r="T26" s="16">
        <v>5</v>
      </c>
      <c r="U26" s="13" t="s">
        <v>101</v>
      </c>
    </row>
    <row r="27" spans="1:21" ht="39.6" x14ac:dyDescent="0.3">
      <c r="A27" s="13" t="s">
        <v>102</v>
      </c>
      <c r="B27" s="13" t="s">
        <v>43</v>
      </c>
      <c r="C27" s="13" t="s">
        <v>103</v>
      </c>
      <c r="D27" s="13" t="s">
        <v>104</v>
      </c>
      <c r="E27" s="19" t="s">
        <v>105</v>
      </c>
      <c r="F27" s="19" t="s">
        <v>96</v>
      </c>
      <c r="G27" s="17">
        <f t="shared" si="1"/>
        <v>16</v>
      </c>
      <c r="H27" s="13" t="s">
        <v>106</v>
      </c>
      <c r="I27" s="19" t="s">
        <v>107</v>
      </c>
      <c r="J27" s="20">
        <v>1000000</v>
      </c>
      <c r="K27" s="21">
        <f t="shared" si="2"/>
        <v>1000000</v>
      </c>
      <c r="L27" s="22">
        <f t="shared" si="3"/>
        <v>0</v>
      </c>
      <c r="M27" s="21">
        <f>MIN(10000000,G27*1000000/16)</f>
        <v>1000000</v>
      </c>
      <c r="N27" s="13" t="str">
        <f t="shared" si="4"/>
        <v>OK</v>
      </c>
      <c r="O27" s="13" t="s">
        <v>108</v>
      </c>
      <c r="P27" s="13" t="s">
        <v>109</v>
      </c>
      <c r="Q27" s="13" t="str">
        <f t="shared" si="5"/>
        <v>DMA2 Stream2 ch4 · Circular · Very high</v>
      </c>
      <c r="R27" s="13" t="str">
        <f t="shared" si="6"/>
        <v>DMA2 Stream7 ch4 · Normal · Medium</v>
      </c>
      <c r="S27" s="13" t="s">
        <v>110</v>
      </c>
      <c r="T27" s="16">
        <v>5</v>
      </c>
      <c r="U27" s="13" t="s">
        <v>111</v>
      </c>
    </row>
    <row r="28" spans="1:21" ht="39.6" x14ac:dyDescent="0.3">
      <c r="A28" s="13" t="s">
        <v>112</v>
      </c>
      <c r="B28" s="13" t="s">
        <v>43</v>
      </c>
      <c r="C28" s="13" t="s">
        <v>113</v>
      </c>
      <c r="D28" s="13" t="s">
        <v>114</v>
      </c>
      <c r="E28" s="19" t="s">
        <v>115</v>
      </c>
      <c r="F28" s="19" t="s">
        <v>75</v>
      </c>
      <c r="G28" s="17">
        <f t="shared" si="1"/>
        <v>16</v>
      </c>
      <c r="H28" s="13" t="s">
        <v>116</v>
      </c>
      <c r="I28" s="19" t="s">
        <v>107</v>
      </c>
      <c r="J28" s="20">
        <v>1000000</v>
      </c>
      <c r="K28" s="21">
        <f t="shared" si="2"/>
        <v>1000000</v>
      </c>
      <c r="L28" s="22">
        <f t="shared" si="3"/>
        <v>0</v>
      </c>
      <c r="M28" s="21">
        <f>MIN(10000000,G28*1000000/16)</f>
        <v>1000000</v>
      </c>
      <c r="N28" s="13" t="str">
        <f t="shared" si="4"/>
        <v>OK</v>
      </c>
      <c r="O28" s="13" t="s">
        <v>117</v>
      </c>
      <c r="P28" s="13" t="s">
        <v>118</v>
      </c>
      <c r="Q28" s="13" t="str">
        <f t="shared" si="5"/>
        <v>DMA1 Stream2 ch4 · Circular · Medium</v>
      </c>
      <c r="R28" s="13" t="str">
        <f t="shared" si="6"/>
        <v>DMA1 Stream4 ch4 · Normal · Low</v>
      </c>
      <c r="S28" s="13" t="s">
        <v>119</v>
      </c>
      <c r="T28" s="16">
        <v>6</v>
      </c>
      <c r="U28" s="13" t="s">
        <v>120</v>
      </c>
    </row>
    <row r="29" spans="1:21" ht="39.6" x14ac:dyDescent="0.3">
      <c r="A29" s="13" t="s">
        <v>121</v>
      </c>
      <c r="B29" s="13" t="s">
        <v>43</v>
      </c>
      <c r="C29" s="13" t="s">
        <v>122</v>
      </c>
      <c r="D29" s="13" t="s">
        <v>123</v>
      </c>
      <c r="E29" s="19" t="s">
        <v>124</v>
      </c>
      <c r="F29" s="19" t="s">
        <v>124</v>
      </c>
      <c r="G29" s="17">
        <f t="shared" si="1"/>
        <v>48</v>
      </c>
      <c r="H29" s="13" t="s">
        <v>125</v>
      </c>
      <c r="I29" s="19" t="s">
        <v>126</v>
      </c>
      <c r="J29" s="20">
        <v>0</v>
      </c>
      <c r="K29" s="21">
        <f t="shared" si="2"/>
        <v>24000000</v>
      </c>
      <c r="L29" s="22" t="str">
        <f t="shared" si="3"/>
        <v/>
      </c>
      <c r="M29" s="23">
        <v>25000000</v>
      </c>
      <c r="N29" s="13" t="str">
        <f t="shared" si="4"/>
        <v>OK</v>
      </c>
      <c r="O29" s="13" t="s">
        <v>127</v>
      </c>
      <c r="P29" s="13" t="s">
        <v>128</v>
      </c>
      <c r="Q29" s="13" t="str">
        <f t="shared" si="5"/>
        <v>DMA2 Stream3 ch4 · Periph flow ctrl · Very high</v>
      </c>
      <c r="R29" s="13" t="str">
        <f t="shared" si="6"/>
        <v>DMA2 Stream6 ch4 · Periph flow ctrl · Very high</v>
      </c>
      <c r="S29" s="13" t="s">
        <v>129</v>
      </c>
      <c r="T29" s="16">
        <v>7</v>
      </c>
      <c r="U29" s="13" t="s">
        <v>130</v>
      </c>
    </row>
    <row r="30" spans="1:21" ht="39.6" x14ac:dyDescent="0.3">
      <c r="A30" s="13" t="s">
        <v>131</v>
      </c>
      <c r="B30" s="13" t="s">
        <v>47</v>
      </c>
      <c r="C30" s="13" t="s">
        <v>132</v>
      </c>
      <c r="D30" s="13" t="s">
        <v>94</v>
      </c>
      <c r="E30" s="19" t="s">
        <v>95</v>
      </c>
      <c r="F30" s="19" t="s">
        <v>75</v>
      </c>
      <c r="G30" s="17">
        <f t="shared" si="1"/>
        <v>16</v>
      </c>
      <c r="H30" s="13" t="s">
        <v>133</v>
      </c>
      <c r="I30" s="19" t="s">
        <v>134</v>
      </c>
      <c r="J30" s="20" t="s">
        <v>92</v>
      </c>
      <c r="K30" s="21">
        <f>K26</f>
        <v>2000000</v>
      </c>
      <c r="L30" s="22" t="str">
        <f t="shared" si="3"/>
        <v/>
      </c>
      <c r="M30" s="21">
        <f>INDEX(CLK_P1,MATCH(B30,CLK_Board,0))*1000000/4</f>
        <v>4000000</v>
      </c>
      <c r="N30" s="13" t="str">
        <f t="shared" si="4"/>
        <v>OK</v>
      </c>
      <c r="O30" s="13" t="s">
        <v>135</v>
      </c>
      <c r="P30" s="13" t="s">
        <v>136</v>
      </c>
      <c r="Q30" s="13" t="str">
        <f t="shared" si="5"/>
        <v>DMA1 Ch1 ← SPI1_RX · Normal · Very high</v>
      </c>
      <c r="R30" s="13" t="str">
        <f t="shared" si="6"/>
        <v>DMA1 Ch2 ← SPI1_TX · Normal · Very high</v>
      </c>
      <c r="S30" s="13" t="s">
        <v>137</v>
      </c>
      <c r="T30" s="16">
        <v>0</v>
      </c>
      <c r="U30" s="13" t="s">
        <v>138</v>
      </c>
    </row>
    <row r="31" spans="1:21" ht="26.4" x14ac:dyDescent="0.3">
      <c r="A31" s="13" t="s">
        <v>139</v>
      </c>
      <c r="B31" s="13" t="s">
        <v>47</v>
      </c>
      <c r="C31" s="13" t="s">
        <v>140</v>
      </c>
      <c r="D31" s="13" t="s">
        <v>73</v>
      </c>
      <c r="E31" s="19" t="s">
        <v>74</v>
      </c>
      <c r="F31" s="19" t="s">
        <v>75</v>
      </c>
      <c r="G31" s="17">
        <f t="shared" si="1"/>
        <v>16</v>
      </c>
      <c r="H31" s="13" t="s">
        <v>141</v>
      </c>
      <c r="I31" s="19" t="s">
        <v>77</v>
      </c>
      <c r="J31" s="20">
        <v>2</v>
      </c>
      <c r="K31" s="21">
        <f>IF(I31="Prescaler",G31*1000000/J31,IF(I31="Baud",G31*1000000/ROUND(G31*1000000/J31,0),IF(I31="SCL",J31,IF(I31="CLKDIV",G31*1000000/(J31+2),""))))</f>
        <v>8000000</v>
      </c>
      <c r="L31" s="22" t="str">
        <f t="shared" si="3"/>
        <v/>
      </c>
      <c r="M31" s="23">
        <v>10000000</v>
      </c>
      <c r="N31" s="13" t="str">
        <f t="shared" si="4"/>
        <v>OK</v>
      </c>
      <c r="O31" s="13" t="s">
        <v>78</v>
      </c>
      <c r="P31" s="13" t="s">
        <v>142</v>
      </c>
      <c r="Q31" s="13" t="str">
        <f t="shared" si="5"/>
        <v>DMA1 Ch3 ← SPI2_RX · Normal · High</v>
      </c>
      <c r="R31" s="13" t="str">
        <f t="shared" si="6"/>
        <v>DMA1 Ch4 ← SPI2_TX · Normal · High</v>
      </c>
      <c r="S31" s="13" t="s">
        <v>143</v>
      </c>
      <c r="T31" s="16">
        <v>1</v>
      </c>
      <c r="U31" s="13" t="s">
        <v>144</v>
      </c>
    </row>
    <row r="32" spans="1:21" ht="26.4" x14ac:dyDescent="0.3">
      <c r="A32" s="13" t="s">
        <v>145</v>
      </c>
      <c r="B32" s="13" t="s">
        <v>47</v>
      </c>
      <c r="C32" s="13" t="s">
        <v>146</v>
      </c>
      <c r="D32" s="13" t="s">
        <v>114</v>
      </c>
      <c r="E32" s="19" t="s">
        <v>147</v>
      </c>
      <c r="F32" s="19" t="s">
        <v>75</v>
      </c>
      <c r="G32" s="17">
        <f t="shared" si="1"/>
        <v>16</v>
      </c>
      <c r="H32" s="13" t="s">
        <v>148</v>
      </c>
      <c r="I32" s="19" t="s">
        <v>107</v>
      </c>
      <c r="J32" s="20">
        <v>1000000</v>
      </c>
      <c r="K32" s="21">
        <f>IF(I32="Prescaler",G32*1000000/J32,IF(I32="Baud",G32*1000000/ROUND(G32*1000000/J32,0),IF(I32="SCL",J32,IF(I32="CLKDIV",G32*1000000/(J32+2),""))))</f>
        <v>1000000</v>
      </c>
      <c r="L32" s="22">
        <f t="shared" si="3"/>
        <v>0</v>
      </c>
      <c r="M32" s="21">
        <f>MIN(10000000,G32*1000000/16)</f>
        <v>1000000</v>
      </c>
      <c r="N32" s="13" t="str">
        <f t="shared" si="4"/>
        <v>OK</v>
      </c>
      <c r="O32" s="13" t="s">
        <v>149</v>
      </c>
      <c r="P32" s="13" t="s">
        <v>118</v>
      </c>
      <c r="Q32" s="13" t="str">
        <f t="shared" si="5"/>
        <v>DMA1 Ch5 ← USART3_RX · Circular · Medium</v>
      </c>
      <c r="R32" s="13" t="str">
        <f t="shared" si="6"/>
        <v>DMA1 Ch6 ← USART3_TX · Normal · Low</v>
      </c>
      <c r="S32" s="13" t="s">
        <v>150</v>
      </c>
      <c r="T32" s="16">
        <v>2</v>
      </c>
      <c r="U32" s="13" t="s">
        <v>151</v>
      </c>
    </row>
    <row r="33" spans="1:21" ht="39.6" x14ac:dyDescent="0.3">
      <c r="A33" s="13" t="s">
        <v>152</v>
      </c>
      <c r="B33" s="13" t="s">
        <v>50</v>
      </c>
      <c r="C33" s="13" t="s">
        <v>153</v>
      </c>
      <c r="D33" s="13" t="s">
        <v>154</v>
      </c>
      <c r="E33" s="19" t="s">
        <v>85</v>
      </c>
      <c r="F33" s="19" t="s">
        <v>75</v>
      </c>
      <c r="G33" s="17">
        <f t="shared" si="1"/>
        <v>16</v>
      </c>
      <c r="H33" s="13" t="s">
        <v>86</v>
      </c>
      <c r="I33" s="19" t="s">
        <v>87</v>
      </c>
      <c r="J33" s="20">
        <v>400000</v>
      </c>
      <c r="K33" s="21">
        <f>IF(I33="Prescaler",G33*1000000/J33,IF(I33="Baud",G33*1000000/ROUND(G33*1000000/J33,0),IF(I33="SCL",J33,IF(I33="CLKDIV",G33*1000000/(J33+2),""))))</f>
        <v>400000</v>
      </c>
      <c r="L33" s="22" t="str">
        <f t="shared" si="3"/>
        <v/>
      </c>
      <c r="M33" s="23">
        <v>400000</v>
      </c>
      <c r="N33" s="13" t="str">
        <f t="shared" si="4"/>
        <v>OK</v>
      </c>
      <c r="O33" s="13" t="s">
        <v>155</v>
      </c>
      <c r="P33" s="13" t="s">
        <v>156</v>
      </c>
      <c r="Q33" s="13" t="str">
        <f t="shared" si="5"/>
        <v>DMA1 Ch1 ← I2C1_RX · Normal · High</v>
      </c>
      <c r="R33" s="13" t="str">
        <f t="shared" si="6"/>
        <v>DMA1 Ch2 ← I2C1_TX · Normal · Low</v>
      </c>
      <c r="S33" s="13" t="s">
        <v>157</v>
      </c>
      <c r="T33" s="16">
        <v>2</v>
      </c>
      <c r="U33" s="13" t="s">
        <v>158</v>
      </c>
    </row>
    <row r="34" spans="1:21" ht="26.4" x14ac:dyDescent="0.3">
      <c r="A34" s="13" t="s">
        <v>159</v>
      </c>
      <c r="B34" s="13" t="s">
        <v>50</v>
      </c>
      <c r="C34" s="13" t="s">
        <v>160</v>
      </c>
      <c r="D34" s="13" t="s">
        <v>104</v>
      </c>
      <c r="E34" s="19" t="s">
        <v>105</v>
      </c>
      <c r="F34" s="19" t="s">
        <v>75</v>
      </c>
      <c r="G34" s="17">
        <f t="shared" si="1"/>
        <v>16</v>
      </c>
      <c r="H34" s="13" t="s">
        <v>161</v>
      </c>
      <c r="I34" s="19" t="s">
        <v>107</v>
      </c>
      <c r="J34" s="20">
        <v>1000000</v>
      </c>
      <c r="K34" s="21">
        <f>IF(I34="Prescaler",G34*1000000/J34,IF(I34="Baud",G34*1000000/ROUND(G34*1000000/J34,0),IF(I34="SCL",J34,IF(I34="CLKDIV",G34*1000000/(J34+2),""))))</f>
        <v>1000000</v>
      </c>
      <c r="L34" s="22">
        <f t="shared" si="3"/>
        <v>0</v>
      </c>
      <c r="M34" s="21">
        <f>MIN(10000000,G34*1000000/16)</f>
        <v>1000000</v>
      </c>
      <c r="N34" s="13" t="str">
        <f t="shared" si="4"/>
        <v>OK</v>
      </c>
      <c r="O34" s="13" t="s">
        <v>162</v>
      </c>
      <c r="P34" s="13" t="s">
        <v>163</v>
      </c>
      <c r="Q34" s="13" t="str">
        <f t="shared" si="5"/>
        <v>DMA1 Ch3 ← USART1_RX · Circular · Very high</v>
      </c>
      <c r="R34" s="13" t="str">
        <f t="shared" si="6"/>
        <v>DMA1 Ch4 ← USART1_TX · Normal · Medium</v>
      </c>
      <c r="S34" s="13" t="s">
        <v>164</v>
      </c>
      <c r="T34" s="16">
        <v>1</v>
      </c>
      <c r="U34" s="13" t="s">
        <v>165</v>
      </c>
    </row>
    <row r="36" spans="1:21" x14ac:dyDescent="0.3">
      <c r="A36" s="3" t="s">
        <v>166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42" customHeight="1" x14ac:dyDescent="0.3">
      <c r="A37" s="12" t="s">
        <v>167</v>
      </c>
      <c r="B37" s="12" t="s">
        <v>25</v>
      </c>
      <c r="C37" s="12" t="s">
        <v>168</v>
      </c>
      <c r="D37" s="12" t="s">
        <v>169</v>
      </c>
      <c r="E37" s="12" t="s">
        <v>170</v>
      </c>
      <c r="F37" s="12" t="s">
        <v>171</v>
      </c>
      <c r="G37" s="12" t="s">
        <v>172</v>
      </c>
      <c r="H37" s="12" t="s">
        <v>173</v>
      </c>
      <c r="I37" s="12" t="s">
        <v>59</v>
      </c>
      <c r="J37" s="12" t="s">
        <v>174</v>
      </c>
      <c r="K37" s="12" t="s">
        <v>175</v>
      </c>
      <c r="L37" s="12" t="s">
        <v>176</v>
      </c>
      <c r="M37" s="12" t="s">
        <v>177</v>
      </c>
      <c r="N37" s="12" t="s">
        <v>178</v>
      </c>
      <c r="O37" s="12" t="s">
        <v>179</v>
      </c>
      <c r="P37" s="12" t="s">
        <v>180</v>
      </c>
      <c r="Q37" s="12" t="s">
        <v>181</v>
      </c>
      <c r="R37" s="12" t="s">
        <v>42</v>
      </c>
    </row>
    <row r="38" spans="1:21" ht="26.4" x14ac:dyDescent="0.3">
      <c r="A38" s="13" t="str">
        <f t="shared" ref="A38:A59" si="7">C38&amp;"|"&amp;D38</f>
        <v>B1-SPI2|RX</v>
      </c>
      <c r="B38" s="13" t="s">
        <v>43</v>
      </c>
      <c r="C38" s="19" t="s">
        <v>71</v>
      </c>
      <c r="D38" s="19" t="s">
        <v>182</v>
      </c>
      <c r="E38" s="24" t="s">
        <v>183</v>
      </c>
      <c r="F38" s="19" t="s">
        <v>184</v>
      </c>
      <c r="G38" s="25">
        <v>3</v>
      </c>
      <c r="H38" s="24">
        <v>0</v>
      </c>
      <c r="I38" s="19" t="s">
        <v>185</v>
      </c>
      <c r="J38" s="19" t="s">
        <v>186</v>
      </c>
      <c r="K38" s="19" t="s">
        <v>187</v>
      </c>
      <c r="L38" s="26">
        <f t="shared" ref="L38:L59" si="8">IFERROR(INDEX(IDR_Bytes,MATCH(K38,IDR_ID,0)),0)</f>
        <v>13</v>
      </c>
      <c r="M38" s="27">
        <f t="shared" ref="M38:M59" si="9">IFERROR(INDEX(IDR_Rate,MATCH(K38,IDR_ID,0)),0)</f>
        <v>1000</v>
      </c>
      <c r="N38" s="21">
        <f t="shared" ref="N38:N59" si="10">IF(E38="Y",L38*M38,0)</f>
        <v>13000</v>
      </c>
      <c r="O38" s="13" t="str">
        <f t="shared" ref="O38:O59" si="11">IF(E38&lt;&gt;"Y","—",IF(COUNTIFS($B$38:$B$59,B38,$F$38:$F$59,F38,$G$38:$G$59,G38,$E$38:$E$59,"Y")&gt;1,"CONFLICT","OK"))</f>
        <v>OK</v>
      </c>
      <c r="P38" s="13" t="str">
        <f t="shared" ref="P38:P59" si="12">IF(E38&lt;&gt;"Y","—",IF(B38&lt;&gt;"B1",IF(G38&lt;=7,"OK (DMAMUX)","INVALID: G071 has 7 ch"),IF(COUNTIFS(MAP_Req,INDEX(AL_Periph,MATCH(C38,AL_ID,0))&amp;"_"&amp;D38,MAP_Ctrl,F38,MAP_Stream,G38,MAP_Ch,H38)&gt;0,"OK (RM0090)","INVALID")))</f>
        <v>OK (RM0090)</v>
      </c>
      <c r="Q38" s="13" t="str">
        <f t="shared" ref="Q38:Q59" si="13">IF(E38&lt;&gt;"Y","no DMA (IRQ / polled)",IF(B38="B1",F38&amp;" Stream"&amp;G38&amp;" ch"&amp;H38,F38&amp;" Ch"&amp;G38&amp;" ← "&amp;H38)&amp;" · "&amp;I38&amp;" · "&amp;J38)</f>
        <v>DMA1 Stream3 ch0 · Normal · High</v>
      </c>
      <c r="R38" s="13"/>
    </row>
    <row r="39" spans="1:21" ht="26.4" x14ac:dyDescent="0.3">
      <c r="A39" s="13" t="str">
        <f t="shared" si="7"/>
        <v>B1-SPI2|TX</v>
      </c>
      <c r="B39" s="13" t="s">
        <v>43</v>
      </c>
      <c r="C39" s="19" t="s">
        <v>71</v>
      </c>
      <c r="D39" s="19" t="s">
        <v>188</v>
      </c>
      <c r="E39" s="24" t="s">
        <v>183</v>
      </c>
      <c r="F39" s="19" t="s">
        <v>184</v>
      </c>
      <c r="G39" s="25">
        <v>4</v>
      </c>
      <c r="H39" s="24">
        <v>0</v>
      </c>
      <c r="I39" s="19" t="s">
        <v>185</v>
      </c>
      <c r="J39" s="19" t="s">
        <v>186</v>
      </c>
      <c r="K39" s="19" t="s">
        <v>187</v>
      </c>
      <c r="L39" s="26">
        <f t="shared" si="8"/>
        <v>13</v>
      </c>
      <c r="M39" s="27">
        <f t="shared" si="9"/>
        <v>1000</v>
      </c>
      <c r="N39" s="21">
        <f t="shared" si="10"/>
        <v>13000</v>
      </c>
      <c r="O39" s="13" t="str">
        <f t="shared" si="11"/>
        <v>CONFLICT</v>
      </c>
      <c r="P39" s="13" t="str">
        <f t="shared" si="12"/>
        <v>OK (RM0090)</v>
      </c>
      <c r="Q39" s="13" t="str">
        <f t="shared" si="13"/>
        <v>DMA1 Stream4 ch0 · Normal · High</v>
      </c>
      <c r="R39" s="13" t="s">
        <v>189</v>
      </c>
    </row>
    <row r="40" spans="1:21" ht="52.8" x14ac:dyDescent="0.3">
      <c r="A40" s="13" t="str">
        <f t="shared" si="7"/>
        <v>B1-I2C1|RX</v>
      </c>
      <c r="B40" s="13" t="s">
        <v>43</v>
      </c>
      <c r="C40" s="19" t="s">
        <v>82</v>
      </c>
      <c r="D40" s="19" t="s">
        <v>182</v>
      </c>
      <c r="E40" s="24" t="s">
        <v>183</v>
      </c>
      <c r="F40" s="19" t="s">
        <v>184</v>
      </c>
      <c r="G40" s="25">
        <v>0</v>
      </c>
      <c r="H40" s="24">
        <v>1</v>
      </c>
      <c r="I40" s="19" t="s">
        <v>185</v>
      </c>
      <c r="J40" s="19" t="s">
        <v>190</v>
      </c>
      <c r="K40" s="19" t="s">
        <v>191</v>
      </c>
      <c r="L40" s="26">
        <f t="shared" si="8"/>
        <v>10</v>
      </c>
      <c r="M40" s="27">
        <f t="shared" si="9"/>
        <v>1000</v>
      </c>
      <c r="N40" s="21">
        <f t="shared" si="10"/>
        <v>10000</v>
      </c>
      <c r="O40" s="13" t="str">
        <f t="shared" si="11"/>
        <v>OK</v>
      </c>
      <c r="P40" s="13" t="str">
        <f t="shared" si="12"/>
        <v>OK (RM0090)</v>
      </c>
      <c r="Q40" s="13" t="str">
        <f t="shared" si="13"/>
        <v>DMA1 Stream0 ch1 · Normal · Medium</v>
      </c>
      <c r="R40" s="13" t="s">
        <v>192</v>
      </c>
    </row>
    <row r="41" spans="1:21" ht="26.4" x14ac:dyDescent="0.3">
      <c r="A41" s="13" t="str">
        <f t="shared" si="7"/>
        <v>B1-I2C1|TX</v>
      </c>
      <c r="B41" s="13" t="s">
        <v>43</v>
      </c>
      <c r="C41" s="19" t="s">
        <v>82</v>
      </c>
      <c r="D41" s="19" t="s">
        <v>188</v>
      </c>
      <c r="E41" s="24" t="s">
        <v>183</v>
      </c>
      <c r="F41" s="19" t="s">
        <v>184</v>
      </c>
      <c r="G41" s="25">
        <v>6</v>
      </c>
      <c r="H41" s="24">
        <v>1</v>
      </c>
      <c r="I41" s="19" t="s">
        <v>185</v>
      </c>
      <c r="J41" s="19" t="s">
        <v>193</v>
      </c>
      <c r="K41" s="19" t="s">
        <v>194</v>
      </c>
      <c r="L41" s="26">
        <f t="shared" si="8"/>
        <v>3</v>
      </c>
      <c r="M41" s="27">
        <f t="shared" si="9"/>
        <v>1</v>
      </c>
      <c r="N41" s="21">
        <f t="shared" si="10"/>
        <v>3</v>
      </c>
      <c r="O41" s="13" t="str">
        <f t="shared" si="11"/>
        <v>OK</v>
      </c>
      <c r="P41" s="13" t="str">
        <f t="shared" si="12"/>
        <v>OK (RM0090)</v>
      </c>
      <c r="Q41" s="13" t="str">
        <f t="shared" si="13"/>
        <v>DMA1 Stream6 ch1 · Normal · Low</v>
      </c>
      <c r="R41" s="13"/>
    </row>
    <row r="42" spans="1:21" ht="39.6" x14ac:dyDescent="0.3">
      <c r="A42" s="13" t="str">
        <f t="shared" si="7"/>
        <v>B1-UART4|RX</v>
      </c>
      <c r="B42" s="13" t="s">
        <v>43</v>
      </c>
      <c r="C42" s="19" t="s">
        <v>112</v>
      </c>
      <c r="D42" s="19" t="s">
        <v>182</v>
      </c>
      <c r="E42" s="24" t="s">
        <v>183</v>
      </c>
      <c r="F42" s="19" t="s">
        <v>184</v>
      </c>
      <c r="G42" s="25">
        <v>2</v>
      </c>
      <c r="H42" s="24">
        <v>4</v>
      </c>
      <c r="I42" s="19" t="s">
        <v>195</v>
      </c>
      <c r="J42" s="19" t="s">
        <v>190</v>
      </c>
      <c r="K42" s="19" t="s">
        <v>196</v>
      </c>
      <c r="L42" s="26">
        <f t="shared" si="8"/>
        <v>22</v>
      </c>
      <c r="M42" s="27">
        <f t="shared" si="9"/>
        <v>1000</v>
      </c>
      <c r="N42" s="21">
        <f t="shared" si="10"/>
        <v>22000</v>
      </c>
      <c r="O42" s="13" t="str">
        <f t="shared" si="11"/>
        <v>OK</v>
      </c>
      <c r="P42" s="13" t="str">
        <f t="shared" si="12"/>
        <v>OK (RM0090)</v>
      </c>
      <c r="Q42" s="13" t="str">
        <f t="shared" si="13"/>
        <v>DMA1 Stream2 ch4 · Circular · Medium</v>
      </c>
      <c r="R42" s="13" t="s">
        <v>197</v>
      </c>
    </row>
    <row r="43" spans="1:21" ht="105.6" x14ac:dyDescent="0.3">
      <c r="A43" s="13" t="str">
        <f t="shared" si="7"/>
        <v>B1-UART4|TX</v>
      </c>
      <c r="B43" s="13" t="s">
        <v>43</v>
      </c>
      <c r="C43" s="19" t="s">
        <v>112</v>
      </c>
      <c r="D43" s="19" t="s">
        <v>188</v>
      </c>
      <c r="E43" s="24" t="s">
        <v>183</v>
      </c>
      <c r="F43" s="19" t="s">
        <v>184</v>
      </c>
      <c r="G43" s="25">
        <v>4</v>
      </c>
      <c r="H43" s="24">
        <v>4</v>
      </c>
      <c r="I43" s="19" t="s">
        <v>185</v>
      </c>
      <c r="J43" s="19" t="s">
        <v>193</v>
      </c>
      <c r="K43" s="19" t="s">
        <v>198</v>
      </c>
      <c r="L43" s="26">
        <f t="shared" si="8"/>
        <v>14</v>
      </c>
      <c r="M43" s="27">
        <f t="shared" si="9"/>
        <v>1000</v>
      </c>
      <c r="N43" s="21">
        <f t="shared" si="10"/>
        <v>14000</v>
      </c>
      <c r="O43" s="13" t="str">
        <f t="shared" si="11"/>
        <v>CONFLICT</v>
      </c>
      <c r="P43" s="13" t="str">
        <f t="shared" si="12"/>
        <v>OK (RM0090)</v>
      </c>
      <c r="Q43" s="13" t="str">
        <f t="shared" si="13"/>
        <v>DMA1 Stream4 ch4 · Normal · Low</v>
      </c>
      <c r="R43" s="13" t="s">
        <v>199</v>
      </c>
    </row>
    <row r="44" spans="1:21" ht="26.4" x14ac:dyDescent="0.3">
      <c r="A44" s="13" t="str">
        <f t="shared" si="7"/>
        <v>B1-SPI1|RX</v>
      </c>
      <c r="B44" s="13" t="s">
        <v>43</v>
      </c>
      <c r="C44" s="19" t="s">
        <v>92</v>
      </c>
      <c r="D44" s="19" t="s">
        <v>182</v>
      </c>
      <c r="E44" s="24" t="s">
        <v>183</v>
      </c>
      <c r="F44" s="19" t="s">
        <v>200</v>
      </c>
      <c r="G44" s="25">
        <v>0</v>
      </c>
      <c r="H44" s="24">
        <v>3</v>
      </c>
      <c r="I44" s="19" t="s">
        <v>185</v>
      </c>
      <c r="J44" s="19" t="s">
        <v>186</v>
      </c>
      <c r="K44" s="19" t="s">
        <v>201</v>
      </c>
      <c r="L44" s="26">
        <f t="shared" si="8"/>
        <v>32</v>
      </c>
      <c r="M44" s="27">
        <f t="shared" si="9"/>
        <v>1000</v>
      </c>
      <c r="N44" s="21">
        <f t="shared" si="10"/>
        <v>32000</v>
      </c>
      <c r="O44" s="13" t="str">
        <f t="shared" si="11"/>
        <v>OK</v>
      </c>
      <c r="P44" s="13" t="str">
        <f t="shared" si="12"/>
        <v>OK (RM0090)</v>
      </c>
      <c r="Q44" s="13" t="str">
        <f t="shared" si="13"/>
        <v>DMA2 Stream0 ch3 · Normal · High</v>
      </c>
      <c r="R44" s="13"/>
    </row>
    <row r="45" spans="1:21" ht="26.4" x14ac:dyDescent="0.3">
      <c r="A45" s="13" t="str">
        <f t="shared" si="7"/>
        <v>B1-SPI1|TX</v>
      </c>
      <c r="B45" s="13" t="s">
        <v>43</v>
      </c>
      <c r="C45" s="19" t="s">
        <v>92</v>
      </c>
      <c r="D45" s="19" t="s">
        <v>188</v>
      </c>
      <c r="E45" s="24" t="s">
        <v>183</v>
      </c>
      <c r="F45" s="19" t="s">
        <v>200</v>
      </c>
      <c r="G45" s="25">
        <v>5</v>
      </c>
      <c r="H45" s="24">
        <v>3</v>
      </c>
      <c r="I45" s="19" t="s">
        <v>185</v>
      </c>
      <c r="J45" s="19" t="s">
        <v>186</v>
      </c>
      <c r="K45" s="19" t="s">
        <v>201</v>
      </c>
      <c r="L45" s="26">
        <f t="shared" si="8"/>
        <v>32</v>
      </c>
      <c r="M45" s="27">
        <f t="shared" si="9"/>
        <v>1000</v>
      </c>
      <c r="N45" s="21">
        <f t="shared" si="10"/>
        <v>32000</v>
      </c>
      <c r="O45" s="13" t="str">
        <f t="shared" si="11"/>
        <v>OK</v>
      </c>
      <c r="P45" s="13" t="str">
        <f t="shared" si="12"/>
        <v>OK (RM0090)</v>
      </c>
      <c r="Q45" s="13" t="str">
        <f t="shared" si="13"/>
        <v>DMA2 Stream5 ch3 · Normal · High</v>
      </c>
      <c r="R45" s="13" t="s">
        <v>202</v>
      </c>
    </row>
    <row r="46" spans="1:21" ht="26.4" x14ac:dyDescent="0.3">
      <c r="A46" s="13" t="str">
        <f t="shared" si="7"/>
        <v>B1-USART1|RX</v>
      </c>
      <c r="B46" s="13" t="s">
        <v>43</v>
      </c>
      <c r="C46" s="19" t="s">
        <v>102</v>
      </c>
      <c r="D46" s="19" t="s">
        <v>182</v>
      </c>
      <c r="E46" s="24" t="s">
        <v>183</v>
      </c>
      <c r="F46" s="19" t="s">
        <v>200</v>
      </c>
      <c r="G46" s="25">
        <v>2</v>
      </c>
      <c r="H46" s="24">
        <v>4</v>
      </c>
      <c r="I46" s="19" t="s">
        <v>195</v>
      </c>
      <c r="J46" s="19" t="s">
        <v>203</v>
      </c>
      <c r="K46" s="19" t="s">
        <v>204</v>
      </c>
      <c r="L46" s="26">
        <f t="shared" si="8"/>
        <v>30</v>
      </c>
      <c r="M46" s="27">
        <f t="shared" si="9"/>
        <v>1000</v>
      </c>
      <c r="N46" s="21">
        <f t="shared" si="10"/>
        <v>30000</v>
      </c>
      <c r="O46" s="13" t="str">
        <f t="shared" si="11"/>
        <v>OK</v>
      </c>
      <c r="P46" s="13" t="str">
        <f t="shared" si="12"/>
        <v>OK (RM0090)</v>
      </c>
      <c r="Q46" s="13" t="str">
        <f t="shared" si="13"/>
        <v>DMA2 Stream2 ch4 · Circular · Very high</v>
      </c>
      <c r="R46" s="13" t="s">
        <v>205</v>
      </c>
    </row>
    <row r="47" spans="1:21" ht="26.4" x14ac:dyDescent="0.3">
      <c r="A47" s="13" t="str">
        <f t="shared" si="7"/>
        <v>B1-USART1|TX</v>
      </c>
      <c r="B47" s="13" t="s">
        <v>43</v>
      </c>
      <c r="C47" s="19" t="s">
        <v>102</v>
      </c>
      <c r="D47" s="19" t="s">
        <v>188</v>
      </c>
      <c r="E47" s="24" t="s">
        <v>183</v>
      </c>
      <c r="F47" s="19" t="s">
        <v>200</v>
      </c>
      <c r="G47" s="25">
        <v>7</v>
      </c>
      <c r="H47" s="24">
        <v>4</v>
      </c>
      <c r="I47" s="19" t="s">
        <v>185</v>
      </c>
      <c r="J47" s="19" t="s">
        <v>190</v>
      </c>
      <c r="K47" s="19" t="s">
        <v>206</v>
      </c>
      <c r="L47" s="26">
        <f t="shared" si="8"/>
        <v>14</v>
      </c>
      <c r="M47" s="27">
        <f t="shared" si="9"/>
        <v>1000</v>
      </c>
      <c r="N47" s="21">
        <f t="shared" si="10"/>
        <v>14000</v>
      </c>
      <c r="O47" s="13" t="str">
        <f t="shared" si="11"/>
        <v>OK</v>
      </c>
      <c r="P47" s="13" t="str">
        <f t="shared" si="12"/>
        <v>OK (RM0090)</v>
      </c>
      <c r="Q47" s="13" t="str">
        <f t="shared" si="13"/>
        <v>DMA2 Stream7 ch4 · Normal · Medium</v>
      </c>
      <c r="R47" s="13"/>
    </row>
    <row r="48" spans="1:21" ht="39.6" x14ac:dyDescent="0.3">
      <c r="A48" s="13" t="str">
        <f t="shared" si="7"/>
        <v>B1-SDIO|RX</v>
      </c>
      <c r="B48" s="13" t="s">
        <v>43</v>
      </c>
      <c r="C48" s="19" t="s">
        <v>121</v>
      </c>
      <c r="D48" s="19" t="s">
        <v>182</v>
      </c>
      <c r="E48" s="24" t="s">
        <v>183</v>
      </c>
      <c r="F48" s="19" t="s">
        <v>200</v>
      </c>
      <c r="G48" s="25">
        <v>3</v>
      </c>
      <c r="H48" s="24">
        <v>4</v>
      </c>
      <c r="I48" s="19" t="s">
        <v>207</v>
      </c>
      <c r="J48" s="19" t="s">
        <v>203</v>
      </c>
      <c r="K48" s="19" t="s">
        <v>208</v>
      </c>
      <c r="L48" s="26">
        <f t="shared" si="8"/>
        <v>520</v>
      </c>
      <c r="M48" s="27">
        <f t="shared" si="9"/>
        <v>103.03125</v>
      </c>
      <c r="N48" s="21">
        <f t="shared" si="10"/>
        <v>53576.25</v>
      </c>
      <c r="O48" s="13" t="str">
        <f t="shared" si="11"/>
        <v>OK</v>
      </c>
      <c r="P48" s="13" t="str">
        <f t="shared" si="12"/>
        <v>OK (RM0090)</v>
      </c>
      <c r="Q48" s="13" t="str">
        <f t="shared" si="13"/>
        <v>DMA2 Stream3 ch4 · Periph flow ctrl · Very high</v>
      </c>
      <c r="R48" s="13" t="s">
        <v>209</v>
      </c>
    </row>
    <row r="49" spans="1:18" ht="26.4" x14ac:dyDescent="0.3">
      <c r="A49" s="13" t="str">
        <f t="shared" si="7"/>
        <v>B1-SDIO|TX</v>
      </c>
      <c r="B49" s="13" t="s">
        <v>43</v>
      </c>
      <c r="C49" s="19" t="s">
        <v>121</v>
      </c>
      <c r="D49" s="19" t="s">
        <v>188</v>
      </c>
      <c r="E49" s="24" t="s">
        <v>183</v>
      </c>
      <c r="F49" s="19" t="s">
        <v>200</v>
      </c>
      <c r="G49" s="25">
        <v>6</v>
      </c>
      <c r="H49" s="24">
        <v>4</v>
      </c>
      <c r="I49" s="19" t="s">
        <v>207</v>
      </c>
      <c r="J49" s="19" t="s">
        <v>203</v>
      </c>
      <c r="K49" s="19" t="s">
        <v>208</v>
      </c>
      <c r="L49" s="26">
        <f t="shared" si="8"/>
        <v>520</v>
      </c>
      <c r="M49" s="27">
        <f t="shared" si="9"/>
        <v>103.03125</v>
      </c>
      <c r="N49" s="21">
        <f t="shared" si="10"/>
        <v>53576.25</v>
      </c>
      <c r="O49" s="13" t="str">
        <f t="shared" si="11"/>
        <v>OK</v>
      </c>
      <c r="P49" s="13" t="str">
        <f t="shared" si="12"/>
        <v>OK (RM0090)</v>
      </c>
      <c r="Q49" s="13" t="str">
        <f t="shared" si="13"/>
        <v>DMA2 Stream6 ch4 · Periph flow ctrl · Very high</v>
      </c>
      <c r="R49" s="13"/>
    </row>
    <row r="50" spans="1:18" ht="26.4" x14ac:dyDescent="0.3">
      <c r="A50" s="13" t="str">
        <f t="shared" si="7"/>
        <v>B2-SPI1|RX</v>
      </c>
      <c r="B50" s="13" t="s">
        <v>47</v>
      </c>
      <c r="C50" s="19" t="s">
        <v>131</v>
      </c>
      <c r="D50" s="19" t="s">
        <v>182</v>
      </c>
      <c r="E50" s="24" t="s">
        <v>183</v>
      </c>
      <c r="F50" s="19" t="s">
        <v>184</v>
      </c>
      <c r="G50" s="25">
        <v>1</v>
      </c>
      <c r="H50" s="24" t="s">
        <v>210</v>
      </c>
      <c r="I50" s="19" t="s">
        <v>185</v>
      </c>
      <c r="J50" s="19" t="s">
        <v>203</v>
      </c>
      <c r="K50" s="19" t="s">
        <v>201</v>
      </c>
      <c r="L50" s="26">
        <f t="shared" si="8"/>
        <v>32</v>
      </c>
      <c r="M50" s="27">
        <f t="shared" si="9"/>
        <v>1000</v>
      </c>
      <c r="N50" s="21">
        <f t="shared" si="10"/>
        <v>32000</v>
      </c>
      <c r="O50" s="13" t="str">
        <f t="shared" si="11"/>
        <v>OK</v>
      </c>
      <c r="P50" s="13" t="str">
        <f t="shared" si="12"/>
        <v>OK (DMAMUX)</v>
      </c>
      <c r="Q50" s="13" t="str">
        <f t="shared" si="13"/>
        <v>DMA1 Ch1 ← SPI1_RX · Normal · Very high</v>
      </c>
      <c r="R50" s="13" t="s">
        <v>211</v>
      </c>
    </row>
    <row r="51" spans="1:18" ht="26.4" x14ac:dyDescent="0.3">
      <c r="A51" s="13" t="str">
        <f t="shared" si="7"/>
        <v>B2-SPI1|TX</v>
      </c>
      <c r="B51" s="13" t="s">
        <v>47</v>
      </c>
      <c r="C51" s="19" t="s">
        <v>131</v>
      </c>
      <c r="D51" s="19" t="s">
        <v>188</v>
      </c>
      <c r="E51" s="24" t="s">
        <v>183</v>
      </c>
      <c r="F51" s="19" t="s">
        <v>184</v>
      </c>
      <c r="G51" s="25">
        <v>2</v>
      </c>
      <c r="H51" s="24" t="s">
        <v>212</v>
      </c>
      <c r="I51" s="19" t="s">
        <v>185</v>
      </c>
      <c r="J51" s="19" t="s">
        <v>203</v>
      </c>
      <c r="K51" s="19" t="s">
        <v>201</v>
      </c>
      <c r="L51" s="26">
        <f t="shared" si="8"/>
        <v>32</v>
      </c>
      <c r="M51" s="27">
        <f t="shared" si="9"/>
        <v>1000</v>
      </c>
      <c r="N51" s="21">
        <f t="shared" si="10"/>
        <v>32000</v>
      </c>
      <c r="O51" s="13" t="str">
        <f t="shared" si="11"/>
        <v>OK</v>
      </c>
      <c r="P51" s="13" t="str">
        <f t="shared" si="12"/>
        <v>OK (DMAMUX)</v>
      </c>
      <c r="Q51" s="13" t="str">
        <f t="shared" si="13"/>
        <v>DMA1 Ch2 ← SPI1_TX · Normal · Very high</v>
      </c>
      <c r="R51" s="13"/>
    </row>
    <row r="52" spans="1:18" ht="26.4" x14ac:dyDescent="0.3">
      <c r="A52" s="13" t="str">
        <f t="shared" si="7"/>
        <v>B2-SPI2|RX</v>
      </c>
      <c r="B52" s="13" t="s">
        <v>47</v>
      </c>
      <c r="C52" s="19" t="s">
        <v>139</v>
      </c>
      <c r="D52" s="19" t="s">
        <v>182</v>
      </c>
      <c r="E52" s="24" t="s">
        <v>183</v>
      </c>
      <c r="F52" s="19" t="s">
        <v>184</v>
      </c>
      <c r="G52" s="25">
        <v>3</v>
      </c>
      <c r="H52" s="24" t="s">
        <v>213</v>
      </c>
      <c r="I52" s="19" t="s">
        <v>185</v>
      </c>
      <c r="J52" s="19" t="s">
        <v>186</v>
      </c>
      <c r="K52" s="19" t="s">
        <v>214</v>
      </c>
      <c r="L52" s="26">
        <f t="shared" si="8"/>
        <v>14</v>
      </c>
      <c r="M52" s="27">
        <f t="shared" si="9"/>
        <v>1000</v>
      </c>
      <c r="N52" s="21">
        <f t="shared" si="10"/>
        <v>14000</v>
      </c>
      <c r="O52" s="13" t="str">
        <f t="shared" si="11"/>
        <v>OK</v>
      </c>
      <c r="P52" s="13" t="str">
        <f t="shared" si="12"/>
        <v>OK (DMAMUX)</v>
      </c>
      <c r="Q52" s="13" t="str">
        <f t="shared" si="13"/>
        <v>DMA1 Ch3 ← SPI2_RX · Normal · High</v>
      </c>
      <c r="R52" s="13"/>
    </row>
    <row r="53" spans="1:18" ht="26.4" x14ac:dyDescent="0.3">
      <c r="A53" s="13" t="str">
        <f t="shared" si="7"/>
        <v>B2-SPI2|TX</v>
      </c>
      <c r="B53" s="13" t="s">
        <v>47</v>
      </c>
      <c r="C53" s="19" t="s">
        <v>139</v>
      </c>
      <c r="D53" s="19" t="s">
        <v>188</v>
      </c>
      <c r="E53" s="24" t="s">
        <v>183</v>
      </c>
      <c r="F53" s="19" t="s">
        <v>184</v>
      </c>
      <c r="G53" s="25">
        <v>4</v>
      </c>
      <c r="H53" s="24" t="s">
        <v>215</v>
      </c>
      <c r="I53" s="19" t="s">
        <v>185</v>
      </c>
      <c r="J53" s="19" t="s">
        <v>186</v>
      </c>
      <c r="K53" s="19" t="s">
        <v>214</v>
      </c>
      <c r="L53" s="26">
        <f t="shared" si="8"/>
        <v>14</v>
      </c>
      <c r="M53" s="27">
        <f t="shared" si="9"/>
        <v>1000</v>
      </c>
      <c r="N53" s="21">
        <f t="shared" si="10"/>
        <v>14000</v>
      </c>
      <c r="O53" s="13" t="str">
        <f t="shared" si="11"/>
        <v>OK</v>
      </c>
      <c r="P53" s="13" t="str">
        <f t="shared" si="12"/>
        <v>OK (DMAMUX)</v>
      </c>
      <c r="Q53" s="13" t="str">
        <f t="shared" si="13"/>
        <v>DMA1 Ch4 ← SPI2_TX · Normal · High</v>
      </c>
      <c r="R53" s="13"/>
    </row>
    <row r="54" spans="1:18" ht="26.4" x14ac:dyDescent="0.3">
      <c r="A54" s="13" t="str">
        <f t="shared" si="7"/>
        <v>B2-USART3|RX</v>
      </c>
      <c r="B54" s="13" t="s">
        <v>47</v>
      </c>
      <c r="C54" s="19" t="s">
        <v>145</v>
      </c>
      <c r="D54" s="19" t="s">
        <v>182</v>
      </c>
      <c r="E54" s="24" t="s">
        <v>183</v>
      </c>
      <c r="F54" s="19" t="s">
        <v>184</v>
      </c>
      <c r="G54" s="25">
        <v>5</v>
      </c>
      <c r="H54" s="24" t="s">
        <v>216</v>
      </c>
      <c r="I54" s="19" t="s">
        <v>195</v>
      </c>
      <c r="J54" s="19" t="s">
        <v>190</v>
      </c>
      <c r="K54" s="19" t="s">
        <v>198</v>
      </c>
      <c r="L54" s="26">
        <f t="shared" si="8"/>
        <v>14</v>
      </c>
      <c r="M54" s="27">
        <f t="shared" si="9"/>
        <v>1000</v>
      </c>
      <c r="N54" s="21">
        <f t="shared" si="10"/>
        <v>14000</v>
      </c>
      <c r="O54" s="13" t="str">
        <f t="shared" si="11"/>
        <v>OK</v>
      </c>
      <c r="P54" s="13" t="str">
        <f t="shared" si="12"/>
        <v>OK (DMAMUX)</v>
      </c>
      <c r="Q54" s="13" t="str">
        <f t="shared" si="13"/>
        <v>DMA1 Ch5 ← USART3_RX · Circular · Medium</v>
      </c>
      <c r="R54" s="13"/>
    </row>
    <row r="55" spans="1:18" ht="26.4" x14ac:dyDescent="0.3">
      <c r="A55" s="13" t="str">
        <f t="shared" si="7"/>
        <v>B2-USART3|TX</v>
      </c>
      <c r="B55" s="13" t="s">
        <v>47</v>
      </c>
      <c r="C55" s="19" t="s">
        <v>145</v>
      </c>
      <c r="D55" s="19" t="s">
        <v>188</v>
      </c>
      <c r="E55" s="24" t="s">
        <v>183</v>
      </c>
      <c r="F55" s="19" t="s">
        <v>184</v>
      </c>
      <c r="G55" s="25">
        <v>6</v>
      </c>
      <c r="H55" s="24" t="s">
        <v>217</v>
      </c>
      <c r="I55" s="19" t="s">
        <v>185</v>
      </c>
      <c r="J55" s="19" t="s">
        <v>193</v>
      </c>
      <c r="K55" s="19" t="s">
        <v>196</v>
      </c>
      <c r="L55" s="26">
        <f t="shared" si="8"/>
        <v>22</v>
      </c>
      <c r="M55" s="27">
        <f t="shared" si="9"/>
        <v>1000</v>
      </c>
      <c r="N55" s="21">
        <f t="shared" si="10"/>
        <v>22000</v>
      </c>
      <c r="O55" s="13" t="str">
        <f t="shared" si="11"/>
        <v>OK</v>
      </c>
      <c r="P55" s="13" t="str">
        <f t="shared" si="12"/>
        <v>OK (DMAMUX)</v>
      </c>
      <c r="Q55" s="13" t="str">
        <f t="shared" si="13"/>
        <v>DMA1 Ch6 ← USART3_TX · Normal · Low</v>
      </c>
      <c r="R55" s="13"/>
    </row>
    <row r="56" spans="1:18" ht="26.4" x14ac:dyDescent="0.3">
      <c r="A56" s="13" t="str">
        <f t="shared" si="7"/>
        <v>B3-I2C1|RX</v>
      </c>
      <c r="B56" s="13" t="s">
        <v>50</v>
      </c>
      <c r="C56" s="19" t="s">
        <v>152</v>
      </c>
      <c r="D56" s="19" t="s">
        <v>182</v>
      </c>
      <c r="E56" s="24" t="s">
        <v>183</v>
      </c>
      <c r="F56" s="19" t="s">
        <v>184</v>
      </c>
      <c r="G56" s="25">
        <v>1</v>
      </c>
      <c r="H56" s="24" t="s">
        <v>218</v>
      </c>
      <c r="I56" s="19" t="s">
        <v>185</v>
      </c>
      <c r="J56" s="19" t="s">
        <v>186</v>
      </c>
      <c r="K56" s="19" t="s">
        <v>219</v>
      </c>
      <c r="L56" s="26">
        <f t="shared" si="8"/>
        <v>103</v>
      </c>
      <c r="M56" s="27">
        <f t="shared" si="9"/>
        <v>10</v>
      </c>
      <c r="N56" s="21">
        <f t="shared" si="10"/>
        <v>1030</v>
      </c>
      <c r="O56" s="13" t="str">
        <f t="shared" si="11"/>
        <v>OK</v>
      </c>
      <c r="P56" s="13" t="str">
        <f t="shared" si="12"/>
        <v>OK (DMAMUX)</v>
      </c>
      <c r="Q56" s="13" t="str">
        <f t="shared" si="13"/>
        <v>DMA1 Ch1 ← I2C1_RX · Normal · High</v>
      </c>
      <c r="R56" s="13"/>
    </row>
    <row r="57" spans="1:18" ht="26.4" x14ac:dyDescent="0.3">
      <c r="A57" s="13" t="str">
        <f t="shared" si="7"/>
        <v>B3-I2C1|TX</v>
      </c>
      <c r="B57" s="13" t="s">
        <v>50</v>
      </c>
      <c r="C57" s="19" t="s">
        <v>152</v>
      </c>
      <c r="D57" s="19" t="s">
        <v>188</v>
      </c>
      <c r="E57" s="24" t="s">
        <v>183</v>
      </c>
      <c r="F57" s="19" t="s">
        <v>184</v>
      </c>
      <c r="G57" s="25">
        <v>2</v>
      </c>
      <c r="H57" s="24" t="s">
        <v>220</v>
      </c>
      <c r="I57" s="19" t="s">
        <v>185</v>
      </c>
      <c r="J57" s="19" t="s">
        <v>193</v>
      </c>
      <c r="K57" s="19" t="s">
        <v>221</v>
      </c>
      <c r="L57" s="26">
        <f t="shared" si="8"/>
        <v>5</v>
      </c>
      <c r="M57" s="27">
        <f t="shared" si="9"/>
        <v>40</v>
      </c>
      <c r="N57" s="21">
        <f t="shared" si="10"/>
        <v>200</v>
      </c>
      <c r="O57" s="13" t="str">
        <f t="shared" si="11"/>
        <v>OK</v>
      </c>
      <c r="P57" s="13" t="str">
        <f t="shared" si="12"/>
        <v>OK (DMAMUX)</v>
      </c>
      <c r="Q57" s="13" t="str">
        <f t="shared" si="13"/>
        <v>DMA1 Ch2 ← I2C1_TX · Normal · Low</v>
      </c>
      <c r="R57" s="13"/>
    </row>
    <row r="58" spans="1:18" ht="26.4" x14ac:dyDescent="0.3">
      <c r="A58" s="13" t="str">
        <f t="shared" si="7"/>
        <v>B3-USART1|RX</v>
      </c>
      <c r="B58" s="13" t="s">
        <v>50</v>
      </c>
      <c r="C58" s="19" t="s">
        <v>159</v>
      </c>
      <c r="D58" s="19" t="s">
        <v>182</v>
      </c>
      <c r="E58" s="24" t="s">
        <v>183</v>
      </c>
      <c r="F58" s="19" t="s">
        <v>184</v>
      </c>
      <c r="G58" s="25">
        <v>3</v>
      </c>
      <c r="H58" s="24" t="s">
        <v>222</v>
      </c>
      <c r="I58" s="19" t="s">
        <v>195</v>
      </c>
      <c r="J58" s="19" t="s">
        <v>203</v>
      </c>
      <c r="K58" s="19" t="s">
        <v>206</v>
      </c>
      <c r="L58" s="26">
        <f t="shared" si="8"/>
        <v>14</v>
      </c>
      <c r="M58" s="27">
        <f t="shared" si="9"/>
        <v>1000</v>
      </c>
      <c r="N58" s="21">
        <f t="shared" si="10"/>
        <v>14000</v>
      </c>
      <c r="O58" s="13" t="str">
        <f t="shared" si="11"/>
        <v>OK</v>
      </c>
      <c r="P58" s="13" t="str">
        <f t="shared" si="12"/>
        <v>OK (DMAMUX)</v>
      </c>
      <c r="Q58" s="13" t="str">
        <f t="shared" si="13"/>
        <v>DMA1 Ch3 ← USART1_RX · Circular · Very high</v>
      </c>
      <c r="R58" s="13"/>
    </row>
    <row r="59" spans="1:18" ht="26.4" x14ac:dyDescent="0.3">
      <c r="A59" s="13" t="str">
        <f t="shared" si="7"/>
        <v>B3-USART1|TX</v>
      </c>
      <c r="B59" s="13" t="s">
        <v>50</v>
      </c>
      <c r="C59" s="19" t="s">
        <v>159</v>
      </c>
      <c r="D59" s="19" t="s">
        <v>188</v>
      </c>
      <c r="E59" s="24" t="s">
        <v>183</v>
      </c>
      <c r="F59" s="19" t="s">
        <v>184</v>
      </c>
      <c r="G59" s="25">
        <v>4</v>
      </c>
      <c r="H59" s="24" t="s">
        <v>223</v>
      </c>
      <c r="I59" s="19" t="s">
        <v>185</v>
      </c>
      <c r="J59" s="19" t="s">
        <v>190</v>
      </c>
      <c r="K59" s="19" t="s">
        <v>204</v>
      </c>
      <c r="L59" s="26">
        <f t="shared" si="8"/>
        <v>30</v>
      </c>
      <c r="M59" s="27">
        <f t="shared" si="9"/>
        <v>1000</v>
      </c>
      <c r="N59" s="21">
        <f t="shared" si="10"/>
        <v>30000</v>
      </c>
      <c r="O59" s="13" t="str">
        <f t="shared" si="11"/>
        <v>OK</v>
      </c>
      <c r="P59" s="13" t="str">
        <f t="shared" si="12"/>
        <v>OK (DMAMUX)</v>
      </c>
      <c r="Q59" s="13" t="str">
        <f t="shared" si="13"/>
        <v>DMA1 Ch4 ← USART1_TX · Normal · Medium</v>
      </c>
      <c r="R59" s="13"/>
    </row>
    <row r="61" spans="1:18" ht="42" customHeight="1" x14ac:dyDescent="0.3">
      <c r="A61" s="12" t="s">
        <v>25</v>
      </c>
      <c r="B61" s="12" t="s">
        <v>171</v>
      </c>
      <c r="C61" s="12" t="s">
        <v>224</v>
      </c>
      <c r="D61" s="12" t="s">
        <v>225</v>
      </c>
      <c r="E61" s="12" t="s">
        <v>178</v>
      </c>
      <c r="F61" s="12" t="s">
        <v>41</v>
      </c>
    </row>
    <row r="62" spans="1:18" ht="26.4" x14ac:dyDescent="0.3">
      <c r="A62" s="13" t="s">
        <v>43</v>
      </c>
      <c r="B62" s="13" t="s">
        <v>184</v>
      </c>
      <c r="C62" s="18">
        <f>COUNTIFS(DMA_Board,A62,$F$38:$F$59,B62,DMA_Use,"Y")</f>
        <v>6</v>
      </c>
      <c r="D62" s="18">
        <f>COUNTIFS(DMA_Board,A62,$F$38:$F$59,B62,DMA_Conf,"CONFLICT")/2</f>
        <v>1</v>
      </c>
      <c r="E62" s="21">
        <f>SUMIFS($N$38:$N$59,DMA_Board,A62,$F$38:$F$59,B62)</f>
        <v>72003</v>
      </c>
      <c r="F62" s="13" t="str">
        <f>IF(D62&gt;0,"CONFLICT","OK")</f>
        <v>CONFLICT</v>
      </c>
    </row>
    <row r="63" spans="1:18" x14ac:dyDescent="0.3">
      <c r="A63" s="13" t="s">
        <v>43</v>
      </c>
      <c r="B63" s="13" t="s">
        <v>200</v>
      </c>
      <c r="C63" s="18">
        <f>COUNTIFS(DMA_Board,A63,$F$38:$F$59,B63,DMA_Use,"Y")</f>
        <v>6</v>
      </c>
      <c r="D63" s="18">
        <f>COUNTIFS(DMA_Board,A63,$F$38:$F$59,B63,DMA_Conf,"CONFLICT")/2</f>
        <v>0</v>
      </c>
      <c r="E63" s="21">
        <f>SUMIFS($N$38:$N$59,DMA_Board,A63,$F$38:$F$59,B63)</f>
        <v>215152.5</v>
      </c>
      <c r="F63" s="13" t="str">
        <f>IF(D63&gt;0,"CONFLICT","OK")</f>
        <v>OK</v>
      </c>
    </row>
    <row r="64" spans="1:18" x14ac:dyDescent="0.3">
      <c r="A64" s="13" t="s">
        <v>47</v>
      </c>
      <c r="B64" s="13" t="s">
        <v>184</v>
      </c>
      <c r="C64" s="18">
        <f>COUNTIFS(DMA_Board,A64,$F$38:$F$59,B64,DMA_Use,"Y")</f>
        <v>6</v>
      </c>
      <c r="D64" s="18">
        <f>COUNTIFS(DMA_Board,A64,$F$38:$F$59,B64,DMA_Conf,"CONFLICT")/2</f>
        <v>0</v>
      </c>
      <c r="E64" s="21">
        <f>SUMIFS($N$38:$N$59,DMA_Board,A64,$F$38:$F$59,B64)</f>
        <v>128000</v>
      </c>
      <c r="F64" s="13" t="str">
        <f>IF(D64&gt;0,"CONFLICT","OK")</f>
        <v>OK</v>
      </c>
    </row>
    <row r="65" spans="1:6" x14ac:dyDescent="0.3">
      <c r="A65" s="13" t="s">
        <v>50</v>
      </c>
      <c r="B65" s="13" t="s">
        <v>184</v>
      </c>
      <c r="C65" s="18">
        <f>COUNTIFS(DMA_Board,A65,$F$38:$F$59,B65,DMA_Use,"Y")</f>
        <v>4</v>
      </c>
      <c r="D65" s="18">
        <f>COUNTIFS(DMA_Board,A65,$F$38:$F$59,B65,DMA_Conf,"CONFLICT")/2</f>
        <v>0</v>
      </c>
      <c r="E65" s="21">
        <f>SUMIFS($N$38:$N$59,DMA_Board,A65,$F$38:$F$59,B65)</f>
        <v>45230</v>
      </c>
      <c r="F65" s="13" t="str">
        <f>IF(D65&gt;0,"CONFLICT","OK")</f>
        <v>OK</v>
      </c>
    </row>
    <row r="67" spans="1:6" x14ac:dyDescent="0.3">
      <c r="A67" s="5" t="s">
        <v>226</v>
      </c>
    </row>
    <row r="68" spans="1:6" ht="42" customHeight="1" x14ac:dyDescent="0.3">
      <c r="A68" s="12" t="s">
        <v>227</v>
      </c>
      <c r="B68" s="12" t="s">
        <v>171</v>
      </c>
      <c r="C68" s="12" t="s">
        <v>228</v>
      </c>
      <c r="D68" s="12" t="s">
        <v>229</v>
      </c>
    </row>
    <row r="69" spans="1:6" x14ac:dyDescent="0.3">
      <c r="A69" s="19" t="s">
        <v>210</v>
      </c>
      <c r="B69" s="19" t="s">
        <v>200</v>
      </c>
      <c r="C69" s="16">
        <v>0</v>
      </c>
      <c r="D69" s="16">
        <v>3</v>
      </c>
    </row>
    <row r="70" spans="1:6" x14ac:dyDescent="0.3">
      <c r="A70" s="19" t="s">
        <v>210</v>
      </c>
      <c r="B70" s="19" t="s">
        <v>200</v>
      </c>
      <c r="C70" s="16">
        <v>2</v>
      </c>
      <c r="D70" s="16">
        <v>3</v>
      </c>
    </row>
    <row r="71" spans="1:6" x14ac:dyDescent="0.3">
      <c r="A71" s="19" t="s">
        <v>212</v>
      </c>
      <c r="B71" s="19" t="s">
        <v>200</v>
      </c>
      <c r="C71" s="16">
        <v>3</v>
      </c>
      <c r="D71" s="16">
        <v>3</v>
      </c>
    </row>
    <row r="72" spans="1:6" x14ac:dyDescent="0.3">
      <c r="A72" s="19" t="s">
        <v>212</v>
      </c>
      <c r="B72" s="19" t="s">
        <v>200</v>
      </c>
      <c r="C72" s="16">
        <v>5</v>
      </c>
      <c r="D72" s="16">
        <v>3</v>
      </c>
    </row>
    <row r="73" spans="1:6" x14ac:dyDescent="0.3">
      <c r="A73" s="19" t="s">
        <v>213</v>
      </c>
      <c r="B73" s="19" t="s">
        <v>184</v>
      </c>
      <c r="C73" s="16">
        <v>3</v>
      </c>
      <c r="D73" s="16">
        <v>0</v>
      </c>
    </row>
    <row r="74" spans="1:6" x14ac:dyDescent="0.3">
      <c r="A74" s="19" t="s">
        <v>215</v>
      </c>
      <c r="B74" s="19" t="s">
        <v>184</v>
      </c>
      <c r="C74" s="16">
        <v>4</v>
      </c>
      <c r="D74" s="16">
        <v>0</v>
      </c>
    </row>
    <row r="75" spans="1:6" x14ac:dyDescent="0.3">
      <c r="A75" s="19" t="s">
        <v>218</v>
      </c>
      <c r="B75" s="19" t="s">
        <v>184</v>
      </c>
      <c r="C75" s="16">
        <v>0</v>
      </c>
      <c r="D75" s="16">
        <v>1</v>
      </c>
    </row>
    <row r="76" spans="1:6" x14ac:dyDescent="0.3">
      <c r="A76" s="19" t="s">
        <v>218</v>
      </c>
      <c r="B76" s="19" t="s">
        <v>184</v>
      </c>
      <c r="C76" s="16">
        <v>5</v>
      </c>
      <c r="D76" s="16">
        <v>1</v>
      </c>
    </row>
    <row r="77" spans="1:6" x14ac:dyDescent="0.3">
      <c r="A77" s="19" t="s">
        <v>220</v>
      </c>
      <c r="B77" s="19" t="s">
        <v>184</v>
      </c>
      <c r="C77" s="16">
        <v>6</v>
      </c>
      <c r="D77" s="16">
        <v>1</v>
      </c>
    </row>
    <row r="78" spans="1:6" x14ac:dyDescent="0.3">
      <c r="A78" s="19" t="s">
        <v>220</v>
      </c>
      <c r="B78" s="19" t="s">
        <v>184</v>
      </c>
      <c r="C78" s="16">
        <v>7</v>
      </c>
      <c r="D78" s="16">
        <v>1</v>
      </c>
    </row>
    <row r="79" spans="1:6" ht="26.4" x14ac:dyDescent="0.3">
      <c r="A79" s="19" t="s">
        <v>222</v>
      </c>
      <c r="B79" s="19" t="s">
        <v>200</v>
      </c>
      <c r="C79" s="16">
        <v>2</v>
      </c>
      <c r="D79" s="16">
        <v>4</v>
      </c>
    </row>
    <row r="80" spans="1:6" ht="26.4" x14ac:dyDescent="0.3">
      <c r="A80" s="19" t="s">
        <v>222</v>
      </c>
      <c r="B80" s="19" t="s">
        <v>200</v>
      </c>
      <c r="C80" s="16">
        <v>5</v>
      </c>
      <c r="D80" s="16">
        <v>4</v>
      </c>
    </row>
    <row r="81" spans="1:21" ht="26.4" x14ac:dyDescent="0.3">
      <c r="A81" s="19" t="s">
        <v>223</v>
      </c>
      <c r="B81" s="19" t="s">
        <v>200</v>
      </c>
      <c r="C81" s="16">
        <v>7</v>
      </c>
      <c r="D81" s="16">
        <v>4</v>
      </c>
    </row>
    <row r="82" spans="1:21" x14ac:dyDescent="0.3">
      <c r="A82" s="19" t="s">
        <v>230</v>
      </c>
      <c r="B82" s="19" t="s">
        <v>184</v>
      </c>
      <c r="C82" s="16">
        <v>2</v>
      </c>
      <c r="D82" s="16">
        <v>4</v>
      </c>
    </row>
    <row r="83" spans="1:21" x14ac:dyDescent="0.3">
      <c r="A83" s="19" t="s">
        <v>231</v>
      </c>
      <c r="B83" s="19" t="s">
        <v>184</v>
      </c>
      <c r="C83" s="16">
        <v>4</v>
      </c>
      <c r="D83" s="16">
        <v>4</v>
      </c>
    </row>
    <row r="84" spans="1:21" x14ac:dyDescent="0.3">
      <c r="A84" s="19" t="s">
        <v>232</v>
      </c>
      <c r="B84" s="19" t="s">
        <v>200</v>
      </c>
      <c r="C84" s="16">
        <v>3</v>
      </c>
      <c r="D84" s="16">
        <v>4</v>
      </c>
    </row>
    <row r="85" spans="1:21" x14ac:dyDescent="0.3">
      <c r="A85" s="19" t="s">
        <v>232</v>
      </c>
      <c r="B85" s="19" t="s">
        <v>200</v>
      </c>
      <c r="C85" s="16">
        <v>6</v>
      </c>
      <c r="D85" s="16">
        <v>4</v>
      </c>
    </row>
    <row r="86" spans="1:21" x14ac:dyDescent="0.3">
      <c r="A86" s="19" t="s">
        <v>233</v>
      </c>
      <c r="B86" s="19" t="s">
        <v>200</v>
      </c>
      <c r="C86" s="16">
        <v>3</v>
      </c>
      <c r="D86" s="16">
        <v>4</v>
      </c>
    </row>
    <row r="87" spans="1:21" x14ac:dyDescent="0.3">
      <c r="A87" s="19" t="s">
        <v>233</v>
      </c>
      <c r="B87" s="19" t="s">
        <v>200</v>
      </c>
      <c r="C87" s="16">
        <v>6</v>
      </c>
      <c r="D87" s="16">
        <v>4</v>
      </c>
    </row>
    <row r="89" spans="1:21" x14ac:dyDescent="0.3">
      <c r="A89" s="3" t="s">
        <v>234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42" customHeight="1" x14ac:dyDescent="0.3">
      <c r="A90" s="12" t="s">
        <v>25</v>
      </c>
      <c r="B90" s="12" t="s">
        <v>235</v>
      </c>
      <c r="C90" s="12" t="s">
        <v>57</v>
      </c>
      <c r="D90" s="12" t="s">
        <v>236</v>
      </c>
      <c r="E90" s="12" t="s">
        <v>237</v>
      </c>
      <c r="F90" s="12" t="s">
        <v>238</v>
      </c>
      <c r="G90" s="12" t="s">
        <v>239</v>
      </c>
      <c r="H90" s="12" t="s">
        <v>240</v>
      </c>
      <c r="I90" s="12" t="s">
        <v>241</v>
      </c>
      <c r="J90" s="12" t="s">
        <v>242</v>
      </c>
      <c r="K90" s="12" t="s">
        <v>243</v>
      </c>
      <c r="L90" s="12" t="s">
        <v>244</v>
      </c>
      <c r="M90" s="12" t="s">
        <v>245</v>
      </c>
      <c r="N90" s="12" t="s">
        <v>246</v>
      </c>
      <c r="O90" s="12" t="s">
        <v>42</v>
      </c>
    </row>
    <row r="91" spans="1:21" ht="39.6" x14ac:dyDescent="0.3">
      <c r="A91" s="13" t="s">
        <v>43</v>
      </c>
      <c r="B91" s="19" t="s">
        <v>247</v>
      </c>
      <c r="C91" s="19" t="s">
        <v>75</v>
      </c>
      <c r="D91" s="17">
        <f t="shared" ref="D91:D98" si="14">IF(C91="APB2",INDEX(CLK_T2,MATCH(A91,CLK_Board,0)),INDEX(CLK_T1,MATCH(A91,CLK_Board,0)))</f>
        <v>16</v>
      </c>
      <c r="E91" s="20">
        <v>1000000</v>
      </c>
      <c r="F91" s="21">
        <f t="shared" ref="F91:F98" si="15">ROUND(D91*1000000/E91,0)-1</f>
        <v>15</v>
      </c>
      <c r="G91" s="21">
        <f t="shared" ref="G91:G98" si="16">D91*1000000/(F91+1)</f>
        <v>1000000</v>
      </c>
      <c r="H91" s="21">
        <f>ROUND(G91/LoopHz,0)-1</f>
        <v>999</v>
      </c>
      <c r="I91" s="17">
        <f t="shared" ref="I91:I98" si="17">G91/(H91+1)</f>
        <v>1000</v>
      </c>
      <c r="J91" s="28">
        <f t="shared" ref="J91:J98" si="18">(H91+1)/G91</f>
        <v>1E-3</v>
      </c>
      <c r="K91" s="16">
        <v>16</v>
      </c>
      <c r="L91" s="13" t="str">
        <f t="shared" ref="L91:L98" si="19">IF(AND(H91&lt;=2^K91-1,F91&lt;=65535),"OK","TOO BIG")</f>
        <v>OK</v>
      </c>
      <c r="M91" s="13" t="s">
        <v>248</v>
      </c>
      <c r="N91" s="13" t="s">
        <v>249</v>
      </c>
      <c r="O91" s="13" t="s">
        <v>250</v>
      </c>
    </row>
    <row r="92" spans="1:21" ht="39.6" x14ac:dyDescent="0.3">
      <c r="A92" s="13" t="s">
        <v>43</v>
      </c>
      <c r="B92" s="19" t="s">
        <v>251</v>
      </c>
      <c r="C92" s="19" t="s">
        <v>75</v>
      </c>
      <c r="D92" s="17">
        <f t="shared" si="14"/>
        <v>16</v>
      </c>
      <c r="E92" s="20">
        <v>1000000</v>
      </c>
      <c r="F92" s="21">
        <f t="shared" si="15"/>
        <v>15</v>
      </c>
      <c r="G92" s="21">
        <f t="shared" si="16"/>
        <v>1000000</v>
      </c>
      <c r="H92" s="21">
        <v>4294967295</v>
      </c>
      <c r="I92" s="17">
        <f t="shared" si="17"/>
        <v>2.3283064365386963E-4</v>
      </c>
      <c r="J92" s="28">
        <f t="shared" si="18"/>
        <v>4294.9672959999998</v>
      </c>
      <c r="K92" s="16">
        <v>32</v>
      </c>
      <c r="L92" s="13" t="str">
        <f t="shared" si="19"/>
        <v>OK</v>
      </c>
      <c r="M92" s="13" t="s">
        <v>252</v>
      </c>
      <c r="N92" s="13" t="s">
        <v>249</v>
      </c>
      <c r="O92" s="13" t="s">
        <v>253</v>
      </c>
    </row>
    <row r="93" spans="1:21" ht="66" x14ac:dyDescent="0.3">
      <c r="A93" s="13" t="s">
        <v>43</v>
      </c>
      <c r="B93" s="19" t="s">
        <v>254</v>
      </c>
      <c r="C93" s="19" t="s">
        <v>75</v>
      </c>
      <c r="D93" s="17">
        <f t="shared" si="14"/>
        <v>16</v>
      </c>
      <c r="E93" s="20">
        <v>1000000</v>
      </c>
      <c r="F93" s="21">
        <f t="shared" si="15"/>
        <v>15</v>
      </c>
      <c r="G93" s="21">
        <f t="shared" si="16"/>
        <v>1000000</v>
      </c>
      <c r="H93" s="21">
        <v>999</v>
      </c>
      <c r="I93" s="17">
        <f t="shared" si="17"/>
        <v>1000</v>
      </c>
      <c r="J93" s="28">
        <f t="shared" si="18"/>
        <v>1E-3</v>
      </c>
      <c r="K93" s="16">
        <v>16</v>
      </c>
      <c r="L93" s="13" t="str">
        <f t="shared" si="19"/>
        <v>OK</v>
      </c>
      <c r="M93" s="13" t="s">
        <v>255</v>
      </c>
      <c r="N93" s="13" t="s">
        <v>249</v>
      </c>
      <c r="O93" s="13" t="s">
        <v>256</v>
      </c>
    </row>
    <row r="94" spans="1:21" ht="52.8" x14ac:dyDescent="0.3">
      <c r="A94" s="13" t="s">
        <v>47</v>
      </c>
      <c r="B94" s="19" t="s">
        <v>251</v>
      </c>
      <c r="C94" s="19" t="s">
        <v>75</v>
      </c>
      <c r="D94" s="17">
        <f t="shared" si="14"/>
        <v>16</v>
      </c>
      <c r="E94" s="20">
        <v>1000000</v>
      </c>
      <c r="F94" s="21">
        <f t="shared" si="15"/>
        <v>15</v>
      </c>
      <c r="G94" s="21">
        <f t="shared" si="16"/>
        <v>1000000</v>
      </c>
      <c r="H94" s="21">
        <v>4294967295</v>
      </c>
      <c r="I94" s="17">
        <f t="shared" si="17"/>
        <v>2.3283064365386963E-4</v>
      </c>
      <c r="J94" s="28">
        <f t="shared" si="18"/>
        <v>4294.9672959999998</v>
      </c>
      <c r="K94" s="16">
        <v>32</v>
      </c>
      <c r="L94" s="13" t="str">
        <f t="shared" si="19"/>
        <v>OK</v>
      </c>
      <c r="M94" s="13" t="s">
        <v>257</v>
      </c>
      <c r="N94" s="13" t="s">
        <v>249</v>
      </c>
      <c r="O94" s="13" t="s">
        <v>258</v>
      </c>
    </row>
    <row r="95" spans="1:21" ht="39.6" x14ac:dyDescent="0.3">
      <c r="A95" s="13" t="s">
        <v>47</v>
      </c>
      <c r="B95" s="19" t="s">
        <v>247</v>
      </c>
      <c r="C95" s="19" t="s">
        <v>75</v>
      </c>
      <c r="D95" s="17">
        <f t="shared" si="14"/>
        <v>16</v>
      </c>
      <c r="E95" s="20">
        <v>1000000</v>
      </c>
      <c r="F95" s="21">
        <f t="shared" si="15"/>
        <v>15</v>
      </c>
      <c r="G95" s="21">
        <f t="shared" si="16"/>
        <v>1000000</v>
      </c>
      <c r="H95" s="21">
        <f>ROUND(2*G95/LoopHz,0)-1</f>
        <v>1999</v>
      </c>
      <c r="I95" s="17">
        <f t="shared" si="17"/>
        <v>500</v>
      </c>
      <c r="J95" s="28">
        <f t="shared" si="18"/>
        <v>2E-3</v>
      </c>
      <c r="K95" s="16">
        <v>16</v>
      </c>
      <c r="L95" s="13" t="str">
        <f t="shared" si="19"/>
        <v>OK</v>
      </c>
      <c r="M95" s="13" t="s">
        <v>259</v>
      </c>
      <c r="N95" s="13" t="s">
        <v>249</v>
      </c>
      <c r="O95" s="13" t="s">
        <v>260</v>
      </c>
    </row>
    <row r="96" spans="1:21" ht="79.2" x14ac:dyDescent="0.3">
      <c r="A96" s="13" t="s">
        <v>50</v>
      </c>
      <c r="B96" s="19" t="s">
        <v>261</v>
      </c>
      <c r="C96" s="19" t="s">
        <v>75</v>
      </c>
      <c r="D96" s="17">
        <f t="shared" si="14"/>
        <v>16</v>
      </c>
      <c r="E96" s="20">
        <v>1000000</v>
      </c>
      <c r="F96" s="21">
        <f t="shared" si="15"/>
        <v>15</v>
      </c>
      <c r="G96" s="21">
        <f t="shared" si="16"/>
        <v>1000000</v>
      </c>
      <c r="H96" s="21">
        <v>65535</v>
      </c>
      <c r="I96" s="17">
        <f t="shared" si="17"/>
        <v>15.2587890625</v>
      </c>
      <c r="J96" s="28">
        <f t="shared" si="18"/>
        <v>6.5535999999999997E-2</v>
      </c>
      <c r="K96" s="16">
        <v>16</v>
      </c>
      <c r="L96" s="13" t="str">
        <f t="shared" si="19"/>
        <v>OK</v>
      </c>
      <c r="M96" s="13" t="s">
        <v>262</v>
      </c>
      <c r="N96" s="13" t="s">
        <v>263</v>
      </c>
      <c r="O96" s="13" t="s">
        <v>264</v>
      </c>
    </row>
    <row r="97" spans="1:21" ht="26.4" x14ac:dyDescent="0.3">
      <c r="A97" s="13" t="s">
        <v>50</v>
      </c>
      <c r="B97" s="19" t="s">
        <v>251</v>
      </c>
      <c r="C97" s="19" t="s">
        <v>75</v>
      </c>
      <c r="D97" s="17">
        <f t="shared" si="14"/>
        <v>16</v>
      </c>
      <c r="E97" s="20">
        <v>1000000</v>
      </c>
      <c r="F97" s="21">
        <f t="shared" si="15"/>
        <v>15</v>
      </c>
      <c r="G97" s="21">
        <f t="shared" si="16"/>
        <v>1000000</v>
      </c>
      <c r="H97" s="21">
        <v>4294967295</v>
      </c>
      <c r="I97" s="17">
        <f t="shared" si="17"/>
        <v>2.3283064365386963E-4</v>
      </c>
      <c r="J97" s="28">
        <f t="shared" si="18"/>
        <v>4294.9672959999998</v>
      </c>
      <c r="K97" s="16">
        <v>32</v>
      </c>
      <c r="L97" s="13" t="str">
        <f t="shared" si="19"/>
        <v>OK</v>
      </c>
      <c r="M97" s="13" t="s">
        <v>265</v>
      </c>
      <c r="N97" s="13" t="s">
        <v>249</v>
      </c>
      <c r="O97" s="13"/>
    </row>
    <row r="98" spans="1:21" ht="52.8" x14ac:dyDescent="0.3">
      <c r="A98" s="13" t="s">
        <v>50</v>
      </c>
      <c r="B98" s="19" t="s">
        <v>247</v>
      </c>
      <c r="C98" s="19" t="s">
        <v>75</v>
      </c>
      <c r="D98" s="17">
        <f t="shared" si="14"/>
        <v>16</v>
      </c>
      <c r="E98" s="20">
        <v>1000000</v>
      </c>
      <c r="F98" s="21">
        <f t="shared" si="15"/>
        <v>15</v>
      </c>
      <c r="G98" s="21">
        <f t="shared" si="16"/>
        <v>1000000</v>
      </c>
      <c r="H98" s="21">
        <f>ROUND(G98/LoopHz,0)-1</f>
        <v>999</v>
      </c>
      <c r="I98" s="17">
        <f t="shared" si="17"/>
        <v>1000</v>
      </c>
      <c r="J98" s="28">
        <f t="shared" si="18"/>
        <v>1E-3</v>
      </c>
      <c r="K98" s="16">
        <v>16</v>
      </c>
      <c r="L98" s="13" t="str">
        <f t="shared" si="19"/>
        <v>OK</v>
      </c>
      <c r="M98" s="13" t="s">
        <v>266</v>
      </c>
      <c r="N98" s="13" t="s">
        <v>249</v>
      </c>
      <c r="O98" s="13" t="s">
        <v>267</v>
      </c>
    </row>
    <row r="100" spans="1:21" x14ac:dyDescent="0.3">
      <c r="A100" s="3" t="s">
        <v>268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42" customHeight="1" x14ac:dyDescent="0.3">
      <c r="A101" s="12" t="s">
        <v>25</v>
      </c>
      <c r="B101" s="12" t="s">
        <v>269</v>
      </c>
      <c r="C101" s="12" t="s">
        <v>270</v>
      </c>
      <c r="D101" s="12" t="s">
        <v>271</v>
      </c>
      <c r="E101" s="12" t="s">
        <v>272</v>
      </c>
      <c r="F101" s="12" t="s">
        <v>273</v>
      </c>
      <c r="G101" s="12" t="s">
        <v>274</v>
      </c>
      <c r="H101" s="12" t="s">
        <v>275</v>
      </c>
      <c r="I101" s="12" t="s">
        <v>276</v>
      </c>
      <c r="J101" s="12" t="s">
        <v>277</v>
      </c>
      <c r="K101" s="12" t="s">
        <v>278</v>
      </c>
      <c r="L101" s="12" t="s">
        <v>279</v>
      </c>
      <c r="M101" s="12" t="s">
        <v>280</v>
      </c>
      <c r="N101" s="12" t="s">
        <v>281</v>
      </c>
      <c r="O101" s="12" t="s">
        <v>42</v>
      </c>
    </row>
    <row r="102" spans="1:21" ht="26.4" x14ac:dyDescent="0.3">
      <c r="A102" s="13" t="s">
        <v>43</v>
      </c>
      <c r="B102" s="18">
        <v>1</v>
      </c>
      <c r="C102" s="13" t="s">
        <v>282</v>
      </c>
      <c r="D102" s="19"/>
      <c r="E102" s="13" t="s">
        <v>283</v>
      </c>
      <c r="F102" s="29">
        <f t="shared" ref="F102:F123" si="20">IF(D102="",0,INDEX(IDR_Time,MATCH(D102,IDR_ID,0)))</f>
        <v>0</v>
      </c>
      <c r="G102" s="20">
        <v>300</v>
      </c>
      <c r="H102" s="30">
        <f t="shared" ref="H102:H123" si="21">G102/INDEX(CLK_SYS,MATCH(A102,CLK_Board,0))</f>
        <v>18.75</v>
      </c>
      <c r="I102" s="31">
        <v>1</v>
      </c>
      <c r="J102" s="30">
        <f t="shared" ref="J102:J123" si="22">(F102+H102)*ROUNDUP(I102,0)</f>
        <v>18.75</v>
      </c>
      <c r="K102" s="30">
        <v>0</v>
      </c>
      <c r="L102" s="30">
        <f t="shared" ref="L102:L123" si="23">K102+J102</f>
        <v>18.75</v>
      </c>
      <c r="M102" s="30">
        <f t="shared" ref="M102:M123" si="24">H102*I102</f>
        <v>18.75</v>
      </c>
      <c r="N102" s="30">
        <f t="shared" ref="N102:N123" si="25">F102*I102</f>
        <v>0</v>
      </c>
      <c r="O102" s="13"/>
    </row>
    <row r="103" spans="1:21" ht="26.4" x14ac:dyDescent="0.3">
      <c r="A103" s="13" t="s">
        <v>43</v>
      </c>
      <c r="B103" s="18">
        <v>2</v>
      </c>
      <c r="C103" s="13" t="s">
        <v>284</v>
      </c>
      <c r="D103" s="19" t="s">
        <v>187</v>
      </c>
      <c r="E103" s="13" t="s">
        <v>285</v>
      </c>
      <c r="F103" s="29">
        <f t="shared" si="20"/>
        <v>14</v>
      </c>
      <c r="G103" s="20">
        <v>400</v>
      </c>
      <c r="H103" s="30">
        <f t="shared" si="21"/>
        <v>25</v>
      </c>
      <c r="I103" s="32">
        <f t="shared" ref="I103:I110" si="26">INDEX(IDR_N,MATCH(D103,IDR_ID,0))</f>
        <v>1</v>
      </c>
      <c r="J103" s="30">
        <f t="shared" si="22"/>
        <v>39</v>
      </c>
      <c r="K103" s="30">
        <f t="shared" ref="K103:K113" si="27">IF(A103=A102,L102,0)</f>
        <v>18.75</v>
      </c>
      <c r="L103" s="30">
        <f t="shared" si="23"/>
        <v>57.75</v>
      </c>
      <c r="M103" s="30">
        <f t="shared" si="24"/>
        <v>25</v>
      </c>
      <c r="N103" s="30">
        <f t="shared" si="25"/>
        <v>14</v>
      </c>
      <c r="O103" s="13"/>
    </row>
    <row r="104" spans="1:21" ht="26.4" x14ac:dyDescent="0.3">
      <c r="A104" s="13" t="s">
        <v>43</v>
      </c>
      <c r="B104" s="18">
        <v>3</v>
      </c>
      <c r="C104" s="13" t="s">
        <v>286</v>
      </c>
      <c r="D104" s="19" t="s">
        <v>191</v>
      </c>
      <c r="E104" s="13" t="s">
        <v>287</v>
      </c>
      <c r="F104" s="29">
        <f t="shared" si="20"/>
        <v>237.5</v>
      </c>
      <c r="G104" s="20">
        <v>600</v>
      </c>
      <c r="H104" s="30">
        <f t="shared" si="21"/>
        <v>37.5</v>
      </c>
      <c r="I104" s="32">
        <f t="shared" si="26"/>
        <v>1</v>
      </c>
      <c r="J104" s="30">
        <f t="shared" si="22"/>
        <v>275</v>
      </c>
      <c r="K104" s="30">
        <f t="shared" si="27"/>
        <v>57.75</v>
      </c>
      <c r="L104" s="30">
        <f t="shared" si="23"/>
        <v>332.75</v>
      </c>
      <c r="M104" s="30">
        <f t="shared" si="24"/>
        <v>37.5</v>
      </c>
      <c r="N104" s="30">
        <f t="shared" si="25"/>
        <v>237.5</v>
      </c>
      <c r="O104" s="13"/>
    </row>
    <row r="105" spans="1:21" ht="26.4" x14ac:dyDescent="0.3">
      <c r="A105" s="13" t="s">
        <v>43</v>
      </c>
      <c r="B105" s="18">
        <v>4</v>
      </c>
      <c r="C105" s="13" t="s">
        <v>288</v>
      </c>
      <c r="D105" s="19" t="s">
        <v>194</v>
      </c>
      <c r="E105" s="13" t="s">
        <v>289</v>
      </c>
      <c r="F105" s="29">
        <f t="shared" si="20"/>
        <v>77.5</v>
      </c>
      <c r="G105" s="20">
        <v>300</v>
      </c>
      <c r="H105" s="30">
        <f t="shared" si="21"/>
        <v>18.75</v>
      </c>
      <c r="I105" s="32">
        <f t="shared" si="26"/>
        <v>1E-3</v>
      </c>
      <c r="J105" s="30">
        <f t="shared" si="22"/>
        <v>96.25</v>
      </c>
      <c r="K105" s="30">
        <f t="shared" si="27"/>
        <v>332.75</v>
      </c>
      <c r="L105" s="30">
        <f t="shared" si="23"/>
        <v>429</v>
      </c>
      <c r="M105" s="30">
        <f t="shared" si="24"/>
        <v>1.8749999999999999E-2</v>
      </c>
      <c r="N105" s="30">
        <f t="shared" si="25"/>
        <v>7.7499999999999999E-2</v>
      </c>
      <c r="O105" s="13"/>
    </row>
    <row r="106" spans="1:21" ht="26.4" x14ac:dyDescent="0.3">
      <c r="A106" s="13" t="s">
        <v>43</v>
      </c>
      <c r="B106" s="18">
        <v>5</v>
      </c>
      <c r="C106" s="13" t="s">
        <v>290</v>
      </c>
      <c r="D106" s="19" t="s">
        <v>201</v>
      </c>
      <c r="E106" s="13" t="s">
        <v>291</v>
      </c>
      <c r="F106" s="29">
        <f t="shared" si="20"/>
        <v>138</v>
      </c>
      <c r="G106" s="20">
        <v>500</v>
      </c>
      <c r="H106" s="30">
        <f t="shared" si="21"/>
        <v>31.25</v>
      </c>
      <c r="I106" s="32">
        <f t="shared" si="26"/>
        <v>1</v>
      </c>
      <c r="J106" s="30">
        <f t="shared" si="22"/>
        <v>169.25</v>
      </c>
      <c r="K106" s="30">
        <f t="shared" si="27"/>
        <v>429</v>
      </c>
      <c r="L106" s="30">
        <f t="shared" si="23"/>
        <v>598.25</v>
      </c>
      <c r="M106" s="30">
        <f t="shared" si="24"/>
        <v>31.25</v>
      </c>
      <c r="N106" s="30">
        <f t="shared" si="25"/>
        <v>138</v>
      </c>
      <c r="O106" s="13"/>
    </row>
    <row r="107" spans="1:21" x14ac:dyDescent="0.3">
      <c r="A107" s="13" t="s">
        <v>43</v>
      </c>
      <c r="B107" s="18">
        <v>6</v>
      </c>
      <c r="C107" s="13" t="s">
        <v>292</v>
      </c>
      <c r="D107" s="19" t="s">
        <v>198</v>
      </c>
      <c r="E107" s="13" t="s">
        <v>293</v>
      </c>
      <c r="F107" s="29">
        <f t="shared" si="20"/>
        <v>140</v>
      </c>
      <c r="G107" s="20">
        <v>300</v>
      </c>
      <c r="H107" s="30">
        <f t="shared" si="21"/>
        <v>18.75</v>
      </c>
      <c r="I107" s="32">
        <f t="shared" si="26"/>
        <v>1</v>
      </c>
      <c r="J107" s="30">
        <f t="shared" si="22"/>
        <v>158.75</v>
      </c>
      <c r="K107" s="30">
        <f t="shared" si="27"/>
        <v>598.25</v>
      </c>
      <c r="L107" s="30">
        <f t="shared" si="23"/>
        <v>757</v>
      </c>
      <c r="M107" s="30">
        <f t="shared" si="24"/>
        <v>18.75</v>
      </c>
      <c r="N107" s="30">
        <f t="shared" si="25"/>
        <v>140</v>
      </c>
      <c r="O107" s="13"/>
    </row>
    <row r="108" spans="1:21" ht="26.4" x14ac:dyDescent="0.3">
      <c r="A108" s="13" t="s">
        <v>43</v>
      </c>
      <c r="B108" s="18">
        <v>7</v>
      </c>
      <c r="C108" s="13" t="s">
        <v>294</v>
      </c>
      <c r="D108" s="19" t="s">
        <v>206</v>
      </c>
      <c r="E108" s="13" t="s">
        <v>293</v>
      </c>
      <c r="F108" s="29">
        <f t="shared" si="20"/>
        <v>160</v>
      </c>
      <c r="G108" s="20">
        <v>400</v>
      </c>
      <c r="H108" s="30">
        <f t="shared" si="21"/>
        <v>25</v>
      </c>
      <c r="I108" s="32">
        <f t="shared" si="26"/>
        <v>1</v>
      </c>
      <c r="J108" s="30">
        <f t="shared" si="22"/>
        <v>185</v>
      </c>
      <c r="K108" s="30">
        <f t="shared" si="27"/>
        <v>757</v>
      </c>
      <c r="L108" s="30">
        <f t="shared" si="23"/>
        <v>942</v>
      </c>
      <c r="M108" s="30">
        <f t="shared" si="24"/>
        <v>25</v>
      </c>
      <c r="N108" s="30">
        <f t="shared" si="25"/>
        <v>160</v>
      </c>
      <c r="O108" s="13"/>
    </row>
    <row r="109" spans="1:21" ht="26.4" x14ac:dyDescent="0.3">
      <c r="A109" s="13" t="s">
        <v>43</v>
      </c>
      <c r="B109" s="18">
        <v>8</v>
      </c>
      <c r="C109" s="13" t="s">
        <v>295</v>
      </c>
      <c r="D109" s="19" t="s">
        <v>204</v>
      </c>
      <c r="E109" s="13" t="s">
        <v>296</v>
      </c>
      <c r="F109" s="29">
        <f t="shared" si="20"/>
        <v>320</v>
      </c>
      <c r="G109" s="20">
        <v>600</v>
      </c>
      <c r="H109" s="30">
        <f t="shared" si="21"/>
        <v>37.5</v>
      </c>
      <c r="I109" s="32">
        <f t="shared" si="26"/>
        <v>1</v>
      </c>
      <c r="J109" s="30">
        <f t="shared" si="22"/>
        <v>357.5</v>
      </c>
      <c r="K109" s="30">
        <f t="shared" si="27"/>
        <v>942</v>
      </c>
      <c r="L109" s="30">
        <f t="shared" si="23"/>
        <v>1299.5</v>
      </c>
      <c r="M109" s="30">
        <f t="shared" si="24"/>
        <v>37.5</v>
      </c>
      <c r="N109" s="30">
        <f t="shared" si="25"/>
        <v>320</v>
      </c>
      <c r="O109" s="13"/>
    </row>
    <row r="110" spans="1:21" ht="26.4" x14ac:dyDescent="0.3">
      <c r="A110" s="13" t="s">
        <v>43</v>
      </c>
      <c r="B110" s="18">
        <v>9</v>
      </c>
      <c r="C110" s="13" t="s">
        <v>297</v>
      </c>
      <c r="D110" s="19" t="s">
        <v>298</v>
      </c>
      <c r="E110" s="13" t="s">
        <v>296</v>
      </c>
      <c r="F110" s="29">
        <f t="shared" si="20"/>
        <v>560</v>
      </c>
      <c r="G110" s="20">
        <v>800</v>
      </c>
      <c r="H110" s="30">
        <f t="shared" si="21"/>
        <v>50</v>
      </c>
      <c r="I110" s="32">
        <f t="shared" si="26"/>
        <v>0.01</v>
      </c>
      <c r="J110" s="30">
        <f t="shared" si="22"/>
        <v>610</v>
      </c>
      <c r="K110" s="30">
        <f t="shared" si="27"/>
        <v>1299.5</v>
      </c>
      <c r="L110" s="30">
        <f t="shared" si="23"/>
        <v>1909.5</v>
      </c>
      <c r="M110" s="30">
        <f t="shared" si="24"/>
        <v>0.5</v>
      </c>
      <c r="N110" s="30">
        <f t="shared" si="25"/>
        <v>5.6000000000000005</v>
      </c>
      <c r="O110" s="13"/>
    </row>
    <row r="111" spans="1:21" ht="79.2" x14ac:dyDescent="0.3">
      <c r="A111" s="13" t="s">
        <v>43</v>
      </c>
      <c r="B111" s="18">
        <v>10</v>
      </c>
      <c r="C111" s="13" t="s">
        <v>299</v>
      </c>
      <c r="D111" s="19"/>
      <c r="E111" s="13" t="s">
        <v>300</v>
      </c>
      <c r="F111" s="29">
        <f t="shared" si="20"/>
        <v>0</v>
      </c>
      <c r="G111" s="20">
        <v>10000</v>
      </c>
      <c r="H111" s="30">
        <f t="shared" si="21"/>
        <v>625</v>
      </c>
      <c r="I111" s="31">
        <v>1</v>
      </c>
      <c r="J111" s="30">
        <f t="shared" si="22"/>
        <v>625</v>
      </c>
      <c r="K111" s="30">
        <f t="shared" si="27"/>
        <v>1909.5</v>
      </c>
      <c r="L111" s="30">
        <f t="shared" si="23"/>
        <v>2534.5</v>
      </c>
      <c r="M111" s="30">
        <f t="shared" si="24"/>
        <v>625</v>
      </c>
      <c r="N111" s="30">
        <f t="shared" si="25"/>
        <v>0</v>
      </c>
      <c r="O111" s="13" t="s">
        <v>301</v>
      </c>
    </row>
    <row r="112" spans="1:21" ht="26.4" x14ac:dyDescent="0.3">
      <c r="A112" s="13" t="s">
        <v>43</v>
      </c>
      <c r="B112" s="18">
        <v>11</v>
      </c>
      <c r="C112" s="13" t="s">
        <v>302</v>
      </c>
      <c r="D112" s="19"/>
      <c r="E112" s="13" t="s">
        <v>293</v>
      </c>
      <c r="F112" s="29">
        <f t="shared" si="20"/>
        <v>0</v>
      </c>
      <c r="G112" s="20">
        <v>2000</v>
      </c>
      <c r="H112" s="30">
        <f t="shared" si="21"/>
        <v>125</v>
      </c>
      <c r="I112" s="31">
        <v>1</v>
      </c>
      <c r="J112" s="30">
        <f t="shared" si="22"/>
        <v>125</v>
      </c>
      <c r="K112" s="30">
        <f t="shared" si="27"/>
        <v>2534.5</v>
      </c>
      <c r="L112" s="30">
        <f t="shared" si="23"/>
        <v>2659.5</v>
      </c>
      <c r="M112" s="30">
        <f t="shared" si="24"/>
        <v>125</v>
      </c>
      <c r="N112" s="30">
        <f t="shared" si="25"/>
        <v>0</v>
      </c>
      <c r="O112" s="13"/>
    </row>
    <row r="113" spans="1:15" ht="39.6" x14ac:dyDescent="0.3">
      <c r="A113" s="13" t="s">
        <v>43</v>
      </c>
      <c r="B113" s="18">
        <v>12</v>
      </c>
      <c r="C113" s="13" t="s">
        <v>303</v>
      </c>
      <c r="D113" s="19" t="s">
        <v>208</v>
      </c>
      <c r="E113" s="13" t="s">
        <v>304</v>
      </c>
      <c r="F113" s="29">
        <f t="shared" si="20"/>
        <v>345.33333333333331</v>
      </c>
      <c r="G113" s="20">
        <v>5000</v>
      </c>
      <c r="H113" s="30">
        <f t="shared" si="21"/>
        <v>312.5</v>
      </c>
      <c r="I113" s="32">
        <f>INDEX(IDR_N,MATCH(D113,IDR_ID,0))</f>
        <v>0.10303125</v>
      </c>
      <c r="J113" s="30">
        <f t="shared" si="22"/>
        <v>657.83333333333326</v>
      </c>
      <c r="K113" s="30">
        <f t="shared" si="27"/>
        <v>2659.5</v>
      </c>
      <c r="L113" s="30">
        <f t="shared" si="23"/>
        <v>3317.333333333333</v>
      </c>
      <c r="M113" s="30">
        <f t="shared" si="24"/>
        <v>32.197265625</v>
      </c>
      <c r="N113" s="30">
        <f t="shared" si="25"/>
        <v>35.580125000000002</v>
      </c>
      <c r="O113" s="13" t="s">
        <v>305</v>
      </c>
    </row>
    <row r="114" spans="1:15" ht="26.4" x14ac:dyDescent="0.3">
      <c r="A114" s="13" t="s">
        <v>47</v>
      </c>
      <c r="B114" s="18">
        <v>1</v>
      </c>
      <c r="C114" s="13" t="s">
        <v>306</v>
      </c>
      <c r="D114" s="19" t="s">
        <v>214</v>
      </c>
      <c r="E114" s="13" t="s">
        <v>307</v>
      </c>
      <c r="F114" s="29">
        <f t="shared" si="20"/>
        <v>15</v>
      </c>
      <c r="G114" s="20">
        <v>500</v>
      </c>
      <c r="H114" s="30">
        <f t="shared" si="21"/>
        <v>31.25</v>
      </c>
      <c r="I114" s="32">
        <f>INDEX(IDR_N,MATCH(D114,IDR_ID,0))</f>
        <v>1</v>
      </c>
      <c r="J114" s="30">
        <f t="shared" si="22"/>
        <v>46.25</v>
      </c>
      <c r="K114" s="30">
        <v>0</v>
      </c>
      <c r="L114" s="30">
        <f t="shared" si="23"/>
        <v>46.25</v>
      </c>
      <c r="M114" s="30">
        <f t="shared" si="24"/>
        <v>31.25</v>
      </c>
      <c r="N114" s="30">
        <f t="shared" si="25"/>
        <v>15</v>
      </c>
      <c r="O114" s="13"/>
    </row>
    <row r="115" spans="1:15" ht="39.6" x14ac:dyDescent="0.3">
      <c r="A115" s="13" t="s">
        <v>47</v>
      </c>
      <c r="B115" s="18">
        <v>2</v>
      </c>
      <c r="C115" s="13" t="s">
        <v>308</v>
      </c>
      <c r="D115" s="19"/>
      <c r="E115" s="13" t="s">
        <v>309</v>
      </c>
      <c r="F115" s="29">
        <f t="shared" si="20"/>
        <v>0</v>
      </c>
      <c r="G115" s="20">
        <v>1500</v>
      </c>
      <c r="H115" s="30">
        <f t="shared" si="21"/>
        <v>93.75</v>
      </c>
      <c r="I115" s="31">
        <v>1</v>
      </c>
      <c r="J115" s="30">
        <f t="shared" si="22"/>
        <v>93.75</v>
      </c>
      <c r="K115" s="30">
        <f>IF(A115=A114,L114,0)</f>
        <v>46.25</v>
      </c>
      <c r="L115" s="30">
        <f t="shared" si="23"/>
        <v>140</v>
      </c>
      <c r="M115" s="30">
        <f t="shared" si="24"/>
        <v>93.75</v>
      </c>
      <c r="N115" s="30">
        <f t="shared" si="25"/>
        <v>0</v>
      </c>
      <c r="O115" s="13"/>
    </row>
    <row r="116" spans="1:15" ht="26.4" x14ac:dyDescent="0.3">
      <c r="A116" s="13" t="s">
        <v>47</v>
      </c>
      <c r="B116" s="18">
        <v>3</v>
      </c>
      <c r="C116" s="13" t="s">
        <v>310</v>
      </c>
      <c r="D116" s="19" t="s">
        <v>201</v>
      </c>
      <c r="E116" s="13" t="s">
        <v>311</v>
      </c>
      <c r="F116" s="29">
        <f t="shared" si="20"/>
        <v>138</v>
      </c>
      <c r="G116" s="20">
        <v>400</v>
      </c>
      <c r="H116" s="30">
        <f t="shared" si="21"/>
        <v>25</v>
      </c>
      <c r="I116" s="32">
        <f t="shared" ref="I116:I121" si="28">INDEX(IDR_N,MATCH(D116,IDR_ID,0))</f>
        <v>1</v>
      </c>
      <c r="J116" s="30">
        <f t="shared" si="22"/>
        <v>163</v>
      </c>
      <c r="K116" s="30">
        <f>IF(A116=A115,L115,0)</f>
        <v>140</v>
      </c>
      <c r="L116" s="30">
        <f t="shared" si="23"/>
        <v>303</v>
      </c>
      <c r="M116" s="30">
        <f t="shared" si="24"/>
        <v>25</v>
      </c>
      <c r="N116" s="30">
        <f t="shared" si="25"/>
        <v>138</v>
      </c>
      <c r="O116" s="13"/>
    </row>
    <row r="117" spans="1:15" x14ac:dyDescent="0.3">
      <c r="A117" s="13" t="s">
        <v>47</v>
      </c>
      <c r="B117" s="18">
        <v>4</v>
      </c>
      <c r="C117" s="13" t="s">
        <v>312</v>
      </c>
      <c r="D117" s="19" t="s">
        <v>196</v>
      </c>
      <c r="E117" s="13" t="s">
        <v>293</v>
      </c>
      <c r="F117" s="29">
        <f t="shared" si="20"/>
        <v>220</v>
      </c>
      <c r="G117" s="20">
        <v>300</v>
      </c>
      <c r="H117" s="30">
        <f t="shared" si="21"/>
        <v>18.75</v>
      </c>
      <c r="I117" s="32">
        <f t="shared" si="28"/>
        <v>1</v>
      </c>
      <c r="J117" s="30">
        <f t="shared" si="22"/>
        <v>238.75</v>
      </c>
      <c r="K117" s="30">
        <f>IF(A117=A116,L116,0)</f>
        <v>303</v>
      </c>
      <c r="L117" s="30">
        <f t="shared" si="23"/>
        <v>541.75</v>
      </c>
      <c r="M117" s="30">
        <f t="shared" si="24"/>
        <v>18.75</v>
      </c>
      <c r="N117" s="30">
        <f t="shared" si="25"/>
        <v>220</v>
      </c>
      <c r="O117" s="13"/>
    </row>
    <row r="118" spans="1:15" ht="26.4" x14ac:dyDescent="0.3">
      <c r="A118" s="13" t="s">
        <v>50</v>
      </c>
      <c r="B118" s="18">
        <v>1</v>
      </c>
      <c r="C118" s="13" t="s">
        <v>313</v>
      </c>
      <c r="D118" s="19" t="s">
        <v>206</v>
      </c>
      <c r="E118" s="13" t="s">
        <v>296</v>
      </c>
      <c r="F118" s="29">
        <f t="shared" si="20"/>
        <v>160</v>
      </c>
      <c r="G118" s="20">
        <v>600</v>
      </c>
      <c r="H118" s="30">
        <f t="shared" si="21"/>
        <v>37.5</v>
      </c>
      <c r="I118" s="32">
        <f t="shared" si="28"/>
        <v>1</v>
      </c>
      <c r="J118" s="30">
        <f t="shared" si="22"/>
        <v>197.5</v>
      </c>
      <c r="K118" s="30">
        <v>0</v>
      </c>
      <c r="L118" s="30">
        <f t="shared" si="23"/>
        <v>197.5</v>
      </c>
      <c r="M118" s="30">
        <f t="shared" si="24"/>
        <v>37.5</v>
      </c>
      <c r="N118" s="30">
        <f t="shared" si="25"/>
        <v>160</v>
      </c>
      <c r="O118" s="13"/>
    </row>
    <row r="119" spans="1:15" ht="26.4" x14ac:dyDescent="0.3">
      <c r="A119" s="13" t="s">
        <v>50</v>
      </c>
      <c r="B119" s="18">
        <v>2</v>
      </c>
      <c r="C119" s="13" t="s">
        <v>314</v>
      </c>
      <c r="D119" s="19" t="s">
        <v>204</v>
      </c>
      <c r="E119" s="13" t="s">
        <v>315</v>
      </c>
      <c r="F119" s="29">
        <f t="shared" si="20"/>
        <v>320</v>
      </c>
      <c r="G119" s="20">
        <v>500</v>
      </c>
      <c r="H119" s="30">
        <f t="shared" si="21"/>
        <v>31.25</v>
      </c>
      <c r="I119" s="32">
        <f t="shared" si="28"/>
        <v>1</v>
      </c>
      <c r="J119" s="30">
        <f t="shared" si="22"/>
        <v>351.25</v>
      </c>
      <c r="K119" s="30">
        <f>IF(A119=A118,L118,0)</f>
        <v>197.5</v>
      </c>
      <c r="L119" s="30">
        <f t="shared" si="23"/>
        <v>548.75</v>
      </c>
      <c r="M119" s="30">
        <f t="shared" si="24"/>
        <v>31.25</v>
      </c>
      <c r="N119" s="30">
        <f t="shared" si="25"/>
        <v>320</v>
      </c>
      <c r="O119" s="13"/>
    </row>
    <row r="120" spans="1:15" ht="26.4" x14ac:dyDescent="0.3">
      <c r="A120" s="13" t="s">
        <v>50</v>
      </c>
      <c r="B120" s="18">
        <v>3</v>
      </c>
      <c r="C120" s="13" t="s">
        <v>316</v>
      </c>
      <c r="D120" s="19" t="s">
        <v>221</v>
      </c>
      <c r="E120" s="13" t="s">
        <v>317</v>
      </c>
      <c r="F120" s="29">
        <f t="shared" si="20"/>
        <v>125</v>
      </c>
      <c r="G120" s="20">
        <v>400</v>
      </c>
      <c r="H120" s="30">
        <f t="shared" si="21"/>
        <v>25</v>
      </c>
      <c r="I120" s="32">
        <f t="shared" si="28"/>
        <v>0.04</v>
      </c>
      <c r="J120" s="30">
        <f t="shared" si="22"/>
        <v>150</v>
      </c>
      <c r="K120" s="30">
        <f>IF(A120=A119,L119,0)</f>
        <v>548.75</v>
      </c>
      <c r="L120" s="30">
        <f t="shared" si="23"/>
        <v>698.75</v>
      </c>
      <c r="M120" s="30">
        <f t="shared" si="24"/>
        <v>1</v>
      </c>
      <c r="N120" s="30">
        <f t="shared" si="25"/>
        <v>5</v>
      </c>
      <c r="O120" s="13"/>
    </row>
    <row r="121" spans="1:15" ht="26.4" x14ac:dyDescent="0.3">
      <c r="A121" s="13" t="s">
        <v>50</v>
      </c>
      <c r="B121" s="18">
        <v>4</v>
      </c>
      <c r="C121" s="13" t="s">
        <v>318</v>
      </c>
      <c r="D121" s="19" t="s">
        <v>219</v>
      </c>
      <c r="E121" s="13" t="s">
        <v>319</v>
      </c>
      <c r="F121" s="29">
        <f t="shared" si="20"/>
        <v>2330</v>
      </c>
      <c r="G121" s="20">
        <v>600</v>
      </c>
      <c r="H121" s="30">
        <f t="shared" si="21"/>
        <v>37.5</v>
      </c>
      <c r="I121" s="32">
        <f t="shared" si="28"/>
        <v>0.01</v>
      </c>
      <c r="J121" s="30">
        <f t="shared" si="22"/>
        <v>2367.5</v>
      </c>
      <c r="K121" s="30">
        <f>IF(A121=A120,L120,0)</f>
        <v>698.75</v>
      </c>
      <c r="L121" s="30">
        <f t="shared" si="23"/>
        <v>3066.25</v>
      </c>
      <c r="M121" s="30">
        <f t="shared" si="24"/>
        <v>0.375</v>
      </c>
      <c r="N121" s="30">
        <f t="shared" si="25"/>
        <v>23.3</v>
      </c>
      <c r="O121" s="13"/>
    </row>
    <row r="122" spans="1:15" ht="26.4" x14ac:dyDescent="0.3">
      <c r="A122" s="13" t="s">
        <v>50</v>
      </c>
      <c r="B122" s="18">
        <v>5</v>
      </c>
      <c r="C122" s="13" t="s">
        <v>320</v>
      </c>
      <c r="D122" s="19"/>
      <c r="E122" s="13" t="s">
        <v>309</v>
      </c>
      <c r="F122" s="29">
        <f t="shared" si="20"/>
        <v>0</v>
      </c>
      <c r="G122" s="20">
        <v>4000</v>
      </c>
      <c r="H122" s="30">
        <f t="shared" si="21"/>
        <v>250</v>
      </c>
      <c r="I122" s="31">
        <f>GpsHz/LoopHz</f>
        <v>0.01</v>
      </c>
      <c r="J122" s="30">
        <f t="shared" si="22"/>
        <v>250</v>
      </c>
      <c r="K122" s="30">
        <f>IF(A122=A121,L121,0)</f>
        <v>3066.25</v>
      </c>
      <c r="L122" s="30">
        <f t="shared" si="23"/>
        <v>3316.25</v>
      </c>
      <c r="M122" s="30">
        <f t="shared" si="24"/>
        <v>2.5</v>
      </c>
      <c r="N122" s="30">
        <f t="shared" si="25"/>
        <v>0</v>
      </c>
      <c r="O122" s="13"/>
    </row>
    <row r="123" spans="1:15" ht="26.4" x14ac:dyDescent="0.3">
      <c r="A123" s="13" t="s">
        <v>50</v>
      </c>
      <c r="B123" s="18">
        <v>6</v>
      </c>
      <c r="C123" s="13" t="s">
        <v>321</v>
      </c>
      <c r="D123" s="19" t="s">
        <v>298</v>
      </c>
      <c r="E123" s="13" t="s">
        <v>319</v>
      </c>
      <c r="F123" s="29">
        <f t="shared" si="20"/>
        <v>560</v>
      </c>
      <c r="G123" s="20">
        <v>500</v>
      </c>
      <c r="H123" s="30">
        <f t="shared" si="21"/>
        <v>31.25</v>
      </c>
      <c r="I123" s="32">
        <f>INDEX(IDR_N,MATCH(D123,IDR_ID,0))</f>
        <v>0.01</v>
      </c>
      <c r="J123" s="30">
        <f t="shared" si="22"/>
        <v>591.25</v>
      </c>
      <c r="K123" s="30">
        <f>IF(A123=A122,L122,0)</f>
        <v>3316.25</v>
      </c>
      <c r="L123" s="30">
        <f t="shared" si="23"/>
        <v>3907.5</v>
      </c>
      <c r="M123" s="30">
        <f t="shared" si="24"/>
        <v>0.3125</v>
      </c>
      <c r="N123" s="30">
        <f t="shared" si="25"/>
        <v>5.6000000000000005</v>
      </c>
      <c r="O123" s="13"/>
    </row>
    <row r="125" spans="1:15" ht="42" customHeight="1" x14ac:dyDescent="0.3">
      <c r="A125" s="12" t="s">
        <v>25</v>
      </c>
      <c r="B125" s="12" t="s">
        <v>322</v>
      </c>
      <c r="C125" s="12" t="s">
        <v>323</v>
      </c>
      <c r="D125" s="12" t="s">
        <v>324</v>
      </c>
      <c r="E125" s="12" t="s">
        <v>325</v>
      </c>
      <c r="F125" s="12" t="s">
        <v>280</v>
      </c>
      <c r="G125" s="12" t="s">
        <v>326</v>
      </c>
      <c r="H125" s="12" t="s">
        <v>327</v>
      </c>
      <c r="I125" s="12" t="s">
        <v>41</v>
      </c>
      <c r="J125" s="12" t="s">
        <v>328</v>
      </c>
      <c r="K125" s="12" t="s">
        <v>329</v>
      </c>
      <c r="L125" s="12" t="s">
        <v>42</v>
      </c>
    </row>
    <row r="126" spans="1:15" ht="409.6" x14ac:dyDescent="0.3">
      <c r="A126" s="13" t="s">
        <v>43</v>
      </c>
      <c r="B126" s="30">
        <f>SUMPRODUCT((TL_Board=A126)*TL_CPUus*ROUNDUP(TL_Occ,0))</f>
        <v>1325</v>
      </c>
      <c r="C126" s="29">
        <f>MAX(_xlfn.MAXIFS(BUS_Worst,BUS_Board,A126,BUS_Sync,"Y"),IF(A126="B2",0,INDEX(BUS_Worst,MATCH("RS485",BUS_ID,0))))</f>
        <v>1040</v>
      </c>
      <c r="D126" s="30">
        <f>LoopUs</f>
        <v>1000</v>
      </c>
      <c r="E126" s="13" t="str">
        <f>IF(MAX(B126,C126)&lt;=D126,"OK","OVER")</f>
        <v>OVER</v>
      </c>
      <c r="F126" s="30">
        <f>SUMIFS(TL_AvgCPU,TL_Board,A126)</f>
        <v>976.46601562499995</v>
      </c>
      <c r="G126" s="33">
        <f>F126/LoopUs</f>
        <v>0.97646601562499991</v>
      </c>
      <c r="H126" s="33">
        <f>MaxCpuUtil</f>
        <v>0.7</v>
      </c>
      <c r="I126" s="13" t="str">
        <f>IF(G126&lt;=H126,"OK","OVER")</f>
        <v>OVER</v>
      </c>
      <c r="J126" s="21">
        <f>IFERROR(LoopHz*H126/G126,0)</f>
        <v>716.87082683769165</v>
      </c>
      <c r="K126" s="30">
        <f>INDEX(CLK_SYS,MATCH(A126,CLK_Board,0))*G126/H126</f>
        <v>22.319223214285714</v>
      </c>
      <c r="L126" s="13" t="s">
        <v>330</v>
      </c>
    </row>
    <row r="127" spans="1:15" ht="409.6" x14ac:dyDescent="0.3">
      <c r="A127" s="13" t="s">
        <v>47</v>
      </c>
      <c r="B127" s="30">
        <f>SUMPRODUCT((TL_Board=A127)*TL_CPUus*ROUNDUP(TL_Occ,0))</f>
        <v>168.75</v>
      </c>
      <c r="C127" s="29">
        <f>MAX(_xlfn.MAXIFS(BUS_Worst,BUS_Board,A127,BUS_Sync,"Y"),IF(A127="B2",0,INDEX(BUS_Worst,MATCH("RS485",BUS_ID,0))))</f>
        <v>220</v>
      </c>
      <c r="D127" s="30">
        <f>LoopUs</f>
        <v>1000</v>
      </c>
      <c r="E127" s="13" t="str">
        <f>IF(MAX(B127,C127)&lt;=D127,"OK","OVER")</f>
        <v>OK</v>
      </c>
      <c r="F127" s="30">
        <f>SUMIFS(TL_AvgCPU,TL_Board,A127)</f>
        <v>168.75</v>
      </c>
      <c r="G127" s="33">
        <f>F127/LoopUs</f>
        <v>0.16875000000000001</v>
      </c>
      <c r="H127" s="33">
        <f>MaxCpuUtil</f>
        <v>0.7</v>
      </c>
      <c r="I127" s="13" t="str">
        <f>IF(G127&lt;=H127,"OK","OVER")</f>
        <v>OK</v>
      </c>
      <c r="J127" s="21">
        <f>IFERROR(LoopHz*H127/G127,0)</f>
        <v>4148.1481481481478</v>
      </c>
      <c r="K127" s="30">
        <f>INDEX(CLK_SYS,MATCH(A127,CLK_Board,0))*G127/H127</f>
        <v>3.8571428571428577</v>
      </c>
      <c r="L127" s="13" t="s">
        <v>330</v>
      </c>
    </row>
    <row r="128" spans="1:15" ht="409.6" x14ac:dyDescent="0.3">
      <c r="A128" s="13" t="s">
        <v>50</v>
      </c>
      <c r="B128" s="30">
        <f>SUMPRODUCT((TL_Board=A128)*TL_CPUus*ROUNDUP(TL_Occ,0))</f>
        <v>412.5</v>
      </c>
      <c r="C128" s="29">
        <f>MAX(_xlfn.MAXIFS(BUS_Worst,BUS_Board,A128,BUS_Sync,"Y"),IF(A128="B2",0,INDEX(BUS_Worst,MATCH("RS485",BUS_ID,0))))</f>
        <v>1040</v>
      </c>
      <c r="D128" s="30">
        <f>LoopUs</f>
        <v>1000</v>
      </c>
      <c r="E128" s="13" t="str">
        <f>IF(MAX(B128,C128)&lt;=D128,"OK","OVER")</f>
        <v>OVER</v>
      </c>
      <c r="F128" s="30">
        <f>SUMIFS(TL_AvgCPU,TL_Board,A128)</f>
        <v>72.9375</v>
      </c>
      <c r="G128" s="33">
        <f>F128/LoopUs</f>
        <v>7.2937500000000002E-2</v>
      </c>
      <c r="H128" s="33">
        <f>MaxCpuUtil</f>
        <v>0.7</v>
      </c>
      <c r="I128" s="13" t="str">
        <f>IF(G128&lt;=H128,"OK","OVER")</f>
        <v>OK</v>
      </c>
      <c r="J128" s="21">
        <f>IFERROR(LoopHz*H128/G128,0)</f>
        <v>9597.2579263067691</v>
      </c>
      <c r="K128" s="30">
        <f>INDEX(CLK_SYS,MATCH(A128,CLK_Board,0))*G128/H128</f>
        <v>1.6671428571428573</v>
      </c>
      <c r="L128" s="13" t="s">
        <v>330</v>
      </c>
    </row>
  </sheetData>
  <conditionalFormatting sqref="D14">
    <cfRule type="expression" dxfId="86" priority="2">
      <formula>OR(LEFT(D14,8)="CONFLICT",LEFT(D14,7)="EXCEEDS",LEFT(D14,4)="OVER",LEFT(D14,5)="LIMIT",LEFT(D14,7)="INVALID",LEFT(D14,9)="VIOLATION",LEFT(D14,8)="BAUD ERR",LEFT(D14,4)="HIGH",LEFT(D14,5)="BELOW",LEFT(D14,4)="FAIL",LEFT(D14,7)="TOO BIG")</formula>
    </cfRule>
    <cfRule type="expression" dxfId="85" priority="3">
      <formula>OR(LEFT(D14,8)="MARGINAL",LEFT(D14,3)="MED",LEFT(D14,5)="CHECK",LEFT(D14,3)="TL:")</formula>
    </cfRule>
    <cfRule type="expression" dxfId="84" priority="4">
      <formula>LEFT(D14,2)="OK"</formula>
    </cfRule>
  </conditionalFormatting>
  <conditionalFormatting sqref="E126:E128">
    <cfRule type="expression" dxfId="83" priority="20">
      <formula>OR(LEFT(E126,8)="CONFLICT",LEFT(E126,7)="EXCEEDS",LEFT(E126,4)="OVER",LEFT(E126,5)="LIMIT",LEFT(E126,7)="INVALID",LEFT(E126,9)="VIOLATION",LEFT(E126,8)="BAUD ERR",LEFT(E126,4)="HIGH",LEFT(E126,5)="BELOW",LEFT(E126,4)="FAIL",LEFT(E126,7)="TOO BIG")</formula>
    </cfRule>
    <cfRule type="expression" dxfId="82" priority="21">
      <formula>OR(LEFT(E126,8)="MARGINAL",LEFT(E126,3)="MED",LEFT(E126,5)="CHECK",LEFT(E126,3)="TL:")</formula>
    </cfRule>
    <cfRule type="expression" dxfId="81" priority="22">
      <formula>LEFT(E126,2)="OK"</formula>
    </cfRule>
  </conditionalFormatting>
  <conditionalFormatting sqref="F62:F65">
    <cfRule type="expression" dxfId="80" priority="14">
      <formula>OR(LEFT(F62,8)="CONFLICT",LEFT(F62,7)="EXCEEDS",LEFT(F62,4)="OVER",LEFT(F62,5)="LIMIT",LEFT(F62,7)="INVALID",LEFT(F62,9)="VIOLATION",LEFT(F62,8)="BAUD ERR",LEFT(F62,4)="HIGH",LEFT(F62,5)="BELOW",LEFT(F62,4)="FAIL",LEFT(F62,7)="TOO BIG")</formula>
    </cfRule>
    <cfRule type="expression" dxfId="79" priority="15">
      <formula>OR(LEFT(F62,8)="MARGINAL",LEFT(F62,3)="MED",LEFT(F62,5)="CHECK",LEFT(F62,3)="TL:")</formula>
    </cfRule>
    <cfRule type="expression" dxfId="78" priority="16">
      <formula>LEFT(F62,2)="OK"</formula>
    </cfRule>
  </conditionalFormatting>
  <conditionalFormatting sqref="I126:I128">
    <cfRule type="expression" dxfId="77" priority="23">
      <formula>OR(LEFT(I126,8)="CONFLICT",LEFT(I126,7)="EXCEEDS",LEFT(I126,4)="OVER",LEFT(I126,5)="LIMIT",LEFT(I126,7)="INVALID",LEFT(I126,9)="VIOLATION",LEFT(I126,8)="BAUD ERR",LEFT(I126,4)="HIGH",LEFT(I126,5)="BELOW",LEFT(I126,4)="FAIL",LEFT(I126,7)="TOO BIG")</formula>
    </cfRule>
    <cfRule type="expression" dxfId="76" priority="24">
      <formula>OR(LEFT(I126,8)="MARGINAL",LEFT(I126,3)="MED",LEFT(I126,5)="CHECK",LEFT(I126,3)="TL:")</formula>
    </cfRule>
    <cfRule type="expression" dxfId="75" priority="25">
      <formula>LEFT(I126,2)="OK"</formula>
    </cfRule>
  </conditionalFormatting>
  <conditionalFormatting sqref="L91:L98">
    <cfRule type="expression" dxfId="74" priority="17">
      <formula>OR(LEFT(L91,8)="CONFLICT",LEFT(L91,7)="EXCEEDS",LEFT(L91,4)="OVER",LEFT(L91,5)="LIMIT",LEFT(L91,7)="INVALID",LEFT(L91,9)="VIOLATION",LEFT(L91,8)="BAUD ERR",LEFT(L91,4)="HIGH",LEFT(L91,5)="BELOW",LEFT(L91,4)="FAIL",LEFT(L91,7)="TOO BIG")</formula>
    </cfRule>
    <cfRule type="expression" dxfId="73" priority="18">
      <formula>OR(LEFT(L91,8)="MARGINAL",LEFT(L91,3)="MED",LEFT(L91,5)="CHECK",LEFT(L91,3)="TL:")</formula>
    </cfRule>
    <cfRule type="expression" dxfId="72" priority="19">
      <formula>LEFT(L91,2)="OK"</formula>
    </cfRule>
  </conditionalFormatting>
  <conditionalFormatting sqref="N24:N34">
    <cfRule type="expression" dxfId="71" priority="8">
      <formula>OR(LEFT(N24,8)="CONFLICT",LEFT(N24,7)="EXCEEDS",LEFT(N24,4)="OVER",LEFT(N24,5)="LIMIT",LEFT(N24,7)="INVALID",LEFT(N24,9)="VIOLATION",LEFT(N24,8)="BAUD ERR",LEFT(N24,4)="HIGH",LEFT(N24,5)="BELOW",LEFT(N24,4)="FAIL",LEFT(N24,7)="TOO BIG")</formula>
    </cfRule>
    <cfRule type="expression" dxfId="70" priority="9">
      <formula>OR(LEFT(N24,8)="MARGINAL",LEFT(N24,3)="MED",LEFT(N24,5)="CHECK",LEFT(N24,3)="TL:")</formula>
    </cfRule>
    <cfRule type="expression" dxfId="69" priority="10">
      <formula>LEFT(N24,2)="OK"</formula>
    </cfRule>
  </conditionalFormatting>
  <conditionalFormatting sqref="O38:P59">
    <cfRule type="expression" dxfId="68" priority="11">
      <formula>OR(LEFT(O38,8)="CONFLICT",LEFT(O38,7)="EXCEEDS",LEFT(O38,4)="OVER",LEFT(O38,5)="LIMIT",LEFT(O38,7)="INVALID",LEFT(O38,9)="VIOLATION",LEFT(O38,8)="BAUD ERR",LEFT(O38,4)="HIGH",LEFT(O38,5)="BELOW",LEFT(O38,4)="FAIL",LEFT(O38,7)="TOO BIG")</formula>
    </cfRule>
    <cfRule type="expression" dxfId="67" priority="12">
      <formula>OR(LEFT(O38,8)="MARGINAL",LEFT(O38,3)="MED",LEFT(O38,5)="CHECK",LEFT(O38,3)="TL:")</formula>
    </cfRule>
    <cfRule type="expression" dxfId="66" priority="13">
      <formula>LEFT(O38,2)="OK"</formula>
    </cfRule>
  </conditionalFormatting>
  <conditionalFormatting sqref="Q18:Q20">
    <cfRule type="expression" dxfId="65" priority="5">
      <formula>OR(LEFT(Q18,8)="CONFLICT",LEFT(Q18,7)="EXCEEDS",LEFT(Q18,4)="OVER",LEFT(Q18,5)="LIMIT",LEFT(Q18,7)="INVALID",LEFT(Q18,9)="VIOLATION",LEFT(Q18,8)="BAUD ERR",LEFT(Q18,4)="HIGH",LEFT(Q18,5)="BELOW",LEFT(Q18,4)="FAIL",LEFT(Q18,7)="TOO BIG")</formula>
    </cfRule>
    <cfRule type="expression" dxfId="64" priority="6">
      <formula>OR(LEFT(Q18,8)="MARGINAL",LEFT(Q18,3)="MED",LEFT(Q18,5)="CHECK",LEFT(Q18,3)="TL:")</formula>
    </cfRule>
    <cfRule type="expression" dxfId="63" priority="7">
      <formula>LEFT(Q18,2)="OK"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T38"/>
  <sheetViews>
    <sheetView showGridLines="0" tabSelected="1" zoomScale="84" zoomScaleNormal="10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O35" sqref="O35"/>
    </sheetView>
  </sheetViews>
  <sheetFormatPr defaultColWidth="8.6640625" defaultRowHeight="14.4" x14ac:dyDescent="0.3"/>
  <cols>
    <col min="1" max="1" width="7" customWidth="1"/>
    <col min="2" max="2" width="40" customWidth="1"/>
    <col min="3" max="3" width="13" customWidth="1"/>
    <col min="4" max="4" width="11" customWidth="1"/>
    <col min="5" max="5" width="8" customWidth="1"/>
    <col min="6" max="6" width="12" customWidth="1"/>
    <col min="7" max="9" width="8" customWidth="1"/>
    <col min="10" max="12" width="7" customWidth="1"/>
    <col min="13" max="15" width="9" customWidth="1"/>
    <col min="16" max="16" width="10" customWidth="1"/>
    <col min="17" max="17" width="8" customWidth="1"/>
    <col min="18" max="18" width="10" customWidth="1"/>
    <col min="19" max="19" width="11" customWidth="1"/>
    <col min="20" max="20" width="60" customWidth="1"/>
  </cols>
  <sheetData>
    <row r="1" spans="1:20" ht="17.399999999999999" x14ac:dyDescent="0.3">
      <c r="A1" s="1" t="s">
        <v>331</v>
      </c>
    </row>
    <row r="2" spans="1:20" x14ac:dyDescent="0.3">
      <c r="A2" s="2" t="s">
        <v>332</v>
      </c>
    </row>
    <row r="3" spans="1:20" x14ac:dyDescent="0.3">
      <c r="A3" s="2" t="s">
        <v>2</v>
      </c>
    </row>
    <row r="5" spans="1:20" x14ac:dyDescent="0.3">
      <c r="A5" s="3" t="s">
        <v>333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42" customHeight="1" x14ac:dyDescent="0.3">
      <c r="A6" s="12" t="s">
        <v>334</v>
      </c>
      <c r="B6" s="12" t="s">
        <v>335</v>
      </c>
      <c r="C6" s="12" t="s">
        <v>336</v>
      </c>
    </row>
    <row r="7" spans="1:20" ht="39.6" x14ac:dyDescent="0.3">
      <c r="A7" s="13" t="s">
        <v>337</v>
      </c>
      <c r="B7" s="16">
        <v>8</v>
      </c>
      <c r="C7" s="13" t="s">
        <v>338</v>
      </c>
    </row>
    <row r="8" spans="1:20" ht="26.4" x14ac:dyDescent="0.3">
      <c r="A8" s="13" t="s">
        <v>339</v>
      </c>
      <c r="B8" s="16">
        <v>9</v>
      </c>
      <c r="C8" s="13" t="s">
        <v>340</v>
      </c>
    </row>
    <row r="9" spans="1:20" ht="26.4" x14ac:dyDescent="0.3">
      <c r="A9" s="13" t="s">
        <v>341</v>
      </c>
      <c r="B9" s="16">
        <v>10</v>
      </c>
      <c r="C9" s="13" t="s">
        <v>342</v>
      </c>
    </row>
    <row r="10" spans="1:20" ht="39.6" x14ac:dyDescent="0.3">
      <c r="A10" s="13" t="s">
        <v>343</v>
      </c>
      <c r="B10" s="16">
        <v>2</v>
      </c>
      <c r="C10" s="13" t="s">
        <v>344</v>
      </c>
    </row>
    <row r="12" spans="1:20" x14ac:dyDescent="0.3">
      <c r="A12" s="3" t="s">
        <v>345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42" customHeight="1" x14ac:dyDescent="0.3">
      <c r="A13" s="12" t="s">
        <v>53</v>
      </c>
      <c r="B13" s="12" t="s">
        <v>346</v>
      </c>
      <c r="C13" s="12" t="s">
        <v>347</v>
      </c>
      <c r="D13" s="12" t="s">
        <v>168</v>
      </c>
      <c r="E13" s="12" t="s">
        <v>334</v>
      </c>
      <c r="F13" s="12" t="s">
        <v>62</v>
      </c>
      <c r="G13" s="12" t="s">
        <v>348</v>
      </c>
      <c r="H13" s="12" t="s">
        <v>349</v>
      </c>
      <c r="I13" s="12" t="s">
        <v>350</v>
      </c>
      <c r="J13" s="12" t="s">
        <v>351</v>
      </c>
      <c r="K13" s="12" t="s">
        <v>352</v>
      </c>
      <c r="L13" s="12" t="s">
        <v>353</v>
      </c>
      <c r="M13" s="12" t="s">
        <v>354</v>
      </c>
      <c r="N13" s="12" t="s">
        <v>355</v>
      </c>
      <c r="O13" s="12" t="s">
        <v>356</v>
      </c>
      <c r="P13" s="12" t="s">
        <v>357</v>
      </c>
      <c r="Q13" s="12" t="s">
        <v>358</v>
      </c>
      <c r="R13" s="12" t="s">
        <v>359</v>
      </c>
      <c r="S13" s="12" t="s">
        <v>360</v>
      </c>
      <c r="T13" s="12" t="s">
        <v>42</v>
      </c>
    </row>
    <row r="14" spans="1:20" ht="26.4" x14ac:dyDescent="0.3">
      <c r="A14" s="13" t="s">
        <v>187</v>
      </c>
      <c r="B14" s="13" t="s">
        <v>361</v>
      </c>
      <c r="C14" s="19" t="s">
        <v>71</v>
      </c>
      <c r="D14" s="19" t="s">
        <v>71</v>
      </c>
      <c r="E14" s="19" t="s">
        <v>337</v>
      </c>
      <c r="F14" s="27">
        <f t="shared" ref="F14:F26" si="0">INDEX(AL_Bit,MATCH(D14,AL_ID,0))</f>
        <v>8000000</v>
      </c>
      <c r="G14" s="25">
        <v>12</v>
      </c>
      <c r="H14" s="16">
        <v>1</v>
      </c>
      <c r="I14" s="18">
        <f t="shared" ref="I14:I26" si="1">G14+H14</f>
        <v>13</v>
      </c>
      <c r="J14" s="18">
        <f t="shared" ref="J14:J26" si="2">INDEX(PROTO_Bits,MATCH(E14,PROTO_Name,0))</f>
        <v>8</v>
      </c>
      <c r="K14" s="16">
        <v>0</v>
      </c>
      <c r="L14" s="34">
        <v>1</v>
      </c>
      <c r="M14" s="30">
        <f t="shared" ref="M14:M26" si="3">(I14*J14+K14)/F14*1000000+L14</f>
        <v>14</v>
      </c>
      <c r="N14" s="35">
        <v>1</v>
      </c>
      <c r="O14" s="29">
        <f t="shared" ref="O14:O26" si="4">N14*LoopHz</f>
        <v>1000</v>
      </c>
      <c r="P14" s="21">
        <f t="shared" ref="P14:P26" si="5">M14*O14</f>
        <v>14000</v>
      </c>
      <c r="Q14" s="33">
        <f t="shared" ref="Q14:Q26" si="6">P14/1000000</f>
        <v>1.4E-2</v>
      </c>
      <c r="R14" s="21">
        <f t="shared" ref="R14:R26" si="7">G14*O14</f>
        <v>12000</v>
      </c>
      <c r="S14" s="21">
        <f t="shared" ref="S14:S26" si="8">(I14*J14+K14)*O14</f>
        <v>104000</v>
      </c>
      <c r="T14" s="13" t="s">
        <v>362</v>
      </c>
    </row>
    <row r="15" spans="1:20" ht="26.4" x14ac:dyDescent="0.3">
      <c r="A15" s="13" t="s">
        <v>191</v>
      </c>
      <c r="B15" s="13" t="s">
        <v>363</v>
      </c>
      <c r="C15" s="19" t="s">
        <v>82</v>
      </c>
      <c r="D15" s="19" t="s">
        <v>82</v>
      </c>
      <c r="E15" s="19" t="s">
        <v>339</v>
      </c>
      <c r="F15" s="27">
        <f t="shared" si="0"/>
        <v>400000</v>
      </c>
      <c r="G15" s="25">
        <v>7</v>
      </c>
      <c r="H15" s="16">
        <v>3</v>
      </c>
      <c r="I15" s="18">
        <f t="shared" si="1"/>
        <v>10</v>
      </c>
      <c r="J15" s="18">
        <f t="shared" si="2"/>
        <v>9</v>
      </c>
      <c r="K15" s="16">
        <v>3</v>
      </c>
      <c r="L15" s="34">
        <v>5</v>
      </c>
      <c r="M15" s="30">
        <f t="shared" si="3"/>
        <v>237.5</v>
      </c>
      <c r="N15" s="32">
        <f>MagHz/LoopHz</f>
        <v>1</v>
      </c>
      <c r="O15" s="29">
        <f t="shared" si="4"/>
        <v>1000</v>
      </c>
      <c r="P15" s="21">
        <f t="shared" si="5"/>
        <v>237500</v>
      </c>
      <c r="Q15" s="33">
        <f t="shared" si="6"/>
        <v>0.23749999999999999</v>
      </c>
      <c r="R15" s="21">
        <f t="shared" si="7"/>
        <v>7000</v>
      </c>
      <c r="S15" s="21">
        <f t="shared" si="8"/>
        <v>93000</v>
      </c>
      <c r="T15" s="13" t="s">
        <v>364</v>
      </c>
    </row>
    <row r="16" spans="1:20" ht="26.4" x14ac:dyDescent="0.3">
      <c r="A16" s="13" t="s">
        <v>194</v>
      </c>
      <c r="B16" s="13" t="s">
        <v>365</v>
      </c>
      <c r="C16" s="19" t="s">
        <v>82</v>
      </c>
      <c r="D16" s="19" t="s">
        <v>82</v>
      </c>
      <c r="E16" s="19" t="s">
        <v>339</v>
      </c>
      <c r="F16" s="27">
        <f t="shared" si="0"/>
        <v>400000</v>
      </c>
      <c r="G16" s="25">
        <v>1</v>
      </c>
      <c r="H16" s="16">
        <v>2</v>
      </c>
      <c r="I16" s="18">
        <f t="shared" si="1"/>
        <v>3</v>
      </c>
      <c r="J16" s="18">
        <f t="shared" si="2"/>
        <v>9</v>
      </c>
      <c r="K16" s="16">
        <v>2</v>
      </c>
      <c r="L16" s="34">
        <v>5</v>
      </c>
      <c r="M16" s="30">
        <f t="shared" si="3"/>
        <v>77.5</v>
      </c>
      <c r="N16" s="32">
        <f>1/LoopHz</f>
        <v>1E-3</v>
      </c>
      <c r="O16" s="29">
        <f t="shared" si="4"/>
        <v>1</v>
      </c>
      <c r="P16" s="21">
        <f t="shared" si="5"/>
        <v>77.5</v>
      </c>
      <c r="Q16" s="33">
        <f t="shared" si="6"/>
        <v>7.75E-5</v>
      </c>
      <c r="R16" s="21">
        <f t="shared" si="7"/>
        <v>1</v>
      </c>
      <c r="S16" s="21">
        <f t="shared" si="8"/>
        <v>29</v>
      </c>
      <c r="T16" s="13" t="s">
        <v>366</v>
      </c>
    </row>
    <row r="17" spans="1:20" ht="26.4" x14ac:dyDescent="0.3">
      <c r="A17" s="13" t="s">
        <v>201</v>
      </c>
      <c r="B17" s="13" t="s">
        <v>367</v>
      </c>
      <c r="C17" s="19" t="s">
        <v>92</v>
      </c>
      <c r="D17" s="19" t="s">
        <v>92</v>
      </c>
      <c r="E17" s="19" t="s">
        <v>337</v>
      </c>
      <c r="F17" s="27">
        <f t="shared" si="0"/>
        <v>2000000</v>
      </c>
      <c r="G17" s="25">
        <v>32</v>
      </c>
      <c r="H17" s="16">
        <v>0</v>
      </c>
      <c r="I17" s="18">
        <f t="shared" si="1"/>
        <v>32</v>
      </c>
      <c r="J17" s="18">
        <f t="shared" si="2"/>
        <v>8</v>
      </c>
      <c r="K17" s="16">
        <v>0</v>
      </c>
      <c r="L17" s="34">
        <v>10</v>
      </c>
      <c r="M17" s="30">
        <f t="shared" si="3"/>
        <v>138</v>
      </c>
      <c r="N17" s="35">
        <v>1</v>
      </c>
      <c r="O17" s="29">
        <f t="shared" si="4"/>
        <v>1000</v>
      </c>
      <c r="P17" s="21">
        <f t="shared" si="5"/>
        <v>138000</v>
      </c>
      <c r="Q17" s="33">
        <f t="shared" si="6"/>
        <v>0.13800000000000001</v>
      </c>
      <c r="R17" s="21">
        <f t="shared" si="7"/>
        <v>32000</v>
      </c>
      <c r="S17" s="21">
        <f t="shared" si="8"/>
        <v>256000</v>
      </c>
      <c r="T17" s="13" t="s">
        <v>368</v>
      </c>
    </row>
    <row r="18" spans="1:20" x14ac:dyDescent="0.3">
      <c r="A18" s="13" t="s">
        <v>214</v>
      </c>
      <c r="B18" s="13" t="s">
        <v>369</v>
      </c>
      <c r="C18" s="19" t="s">
        <v>139</v>
      </c>
      <c r="D18" s="19" t="s">
        <v>139</v>
      </c>
      <c r="E18" s="19" t="s">
        <v>337</v>
      </c>
      <c r="F18" s="27">
        <f t="shared" si="0"/>
        <v>8000000</v>
      </c>
      <c r="G18" s="25">
        <v>12</v>
      </c>
      <c r="H18" s="16">
        <v>2</v>
      </c>
      <c r="I18" s="18">
        <f t="shared" si="1"/>
        <v>14</v>
      </c>
      <c r="J18" s="18">
        <f t="shared" si="2"/>
        <v>8</v>
      </c>
      <c r="K18" s="16">
        <v>0</v>
      </c>
      <c r="L18" s="34">
        <v>1</v>
      </c>
      <c r="M18" s="30">
        <f t="shared" si="3"/>
        <v>15</v>
      </c>
      <c r="N18" s="35">
        <v>1</v>
      </c>
      <c r="O18" s="29">
        <f t="shared" si="4"/>
        <v>1000</v>
      </c>
      <c r="P18" s="21">
        <f t="shared" si="5"/>
        <v>15000</v>
      </c>
      <c r="Q18" s="33">
        <f t="shared" si="6"/>
        <v>1.4999999999999999E-2</v>
      </c>
      <c r="R18" s="21">
        <f t="shared" si="7"/>
        <v>12000</v>
      </c>
      <c r="S18" s="21">
        <f t="shared" si="8"/>
        <v>112000</v>
      </c>
      <c r="T18" s="13" t="s">
        <v>370</v>
      </c>
    </row>
    <row r="19" spans="1:20" ht="26.4" x14ac:dyDescent="0.3">
      <c r="A19" s="13" t="s">
        <v>198</v>
      </c>
      <c r="B19" s="13" t="s">
        <v>371</v>
      </c>
      <c r="C19" s="19" t="s">
        <v>372</v>
      </c>
      <c r="D19" s="19" t="s">
        <v>112</v>
      </c>
      <c r="E19" s="19" t="s">
        <v>341</v>
      </c>
      <c r="F19" s="27">
        <f t="shared" si="0"/>
        <v>1000000</v>
      </c>
      <c r="G19" s="25">
        <v>8</v>
      </c>
      <c r="H19" s="16">
        <v>6</v>
      </c>
      <c r="I19" s="18">
        <f t="shared" si="1"/>
        <v>14</v>
      </c>
      <c r="J19" s="18">
        <f t="shared" si="2"/>
        <v>10</v>
      </c>
      <c r="K19" s="16">
        <v>0</v>
      </c>
      <c r="L19" s="34">
        <v>0</v>
      </c>
      <c r="M19" s="30">
        <f t="shared" si="3"/>
        <v>140</v>
      </c>
      <c r="N19" s="35">
        <v>1</v>
      </c>
      <c r="O19" s="29">
        <f t="shared" si="4"/>
        <v>1000</v>
      </c>
      <c r="P19" s="21">
        <f t="shared" si="5"/>
        <v>140000</v>
      </c>
      <c r="Q19" s="33">
        <f t="shared" si="6"/>
        <v>0.14000000000000001</v>
      </c>
      <c r="R19" s="21">
        <f t="shared" si="7"/>
        <v>8000</v>
      </c>
      <c r="S19" s="21">
        <f t="shared" si="8"/>
        <v>140000</v>
      </c>
      <c r="T19" s="13" t="s">
        <v>373</v>
      </c>
    </row>
    <row r="20" spans="1:20" ht="26.4" x14ac:dyDescent="0.3">
      <c r="A20" s="13" t="s">
        <v>196</v>
      </c>
      <c r="B20" s="13" t="s">
        <v>374</v>
      </c>
      <c r="C20" s="19" t="s">
        <v>375</v>
      </c>
      <c r="D20" s="19" t="s">
        <v>145</v>
      </c>
      <c r="E20" s="19" t="s">
        <v>341</v>
      </c>
      <c r="F20" s="27">
        <f t="shared" si="0"/>
        <v>1000000</v>
      </c>
      <c r="G20" s="25">
        <v>16</v>
      </c>
      <c r="H20" s="16">
        <v>6</v>
      </c>
      <c r="I20" s="18">
        <f t="shared" si="1"/>
        <v>22</v>
      </c>
      <c r="J20" s="18">
        <f t="shared" si="2"/>
        <v>10</v>
      </c>
      <c r="K20" s="16">
        <v>0</v>
      </c>
      <c r="L20" s="34">
        <v>0</v>
      </c>
      <c r="M20" s="30">
        <f t="shared" si="3"/>
        <v>220</v>
      </c>
      <c r="N20" s="35">
        <v>1</v>
      </c>
      <c r="O20" s="29">
        <f t="shared" si="4"/>
        <v>1000</v>
      </c>
      <c r="P20" s="21">
        <f t="shared" si="5"/>
        <v>220000</v>
      </c>
      <c r="Q20" s="33">
        <f t="shared" si="6"/>
        <v>0.22</v>
      </c>
      <c r="R20" s="21">
        <f t="shared" si="7"/>
        <v>16000</v>
      </c>
      <c r="S20" s="21">
        <f t="shared" si="8"/>
        <v>220000</v>
      </c>
      <c r="T20" s="13"/>
    </row>
    <row r="21" spans="1:20" ht="26.4" x14ac:dyDescent="0.3">
      <c r="A21" s="13" t="s">
        <v>206</v>
      </c>
      <c r="B21" s="13" t="s">
        <v>376</v>
      </c>
      <c r="C21" s="19" t="s">
        <v>377</v>
      </c>
      <c r="D21" s="19" t="s">
        <v>102</v>
      </c>
      <c r="E21" s="19" t="s">
        <v>341</v>
      </c>
      <c r="F21" s="27">
        <f t="shared" si="0"/>
        <v>1000000</v>
      </c>
      <c r="G21" s="25">
        <v>8</v>
      </c>
      <c r="H21" s="16">
        <v>6</v>
      </c>
      <c r="I21" s="18">
        <f t="shared" si="1"/>
        <v>14</v>
      </c>
      <c r="J21" s="18">
        <f t="shared" si="2"/>
        <v>10</v>
      </c>
      <c r="K21" s="16">
        <v>0</v>
      </c>
      <c r="L21" s="34">
        <v>20</v>
      </c>
      <c r="M21" s="30">
        <f t="shared" si="3"/>
        <v>160</v>
      </c>
      <c r="N21" s="35">
        <v>1</v>
      </c>
      <c r="O21" s="29">
        <f t="shared" si="4"/>
        <v>1000</v>
      </c>
      <c r="P21" s="21">
        <f t="shared" si="5"/>
        <v>160000</v>
      </c>
      <c r="Q21" s="33">
        <f t="shared" si="6"/>
        <v>0.16</v>
      </c>
      <c r="R21" s="21">
        <f t="shared" si="7"/>
        <v>8000</v>
      </c>
      <c r="S21" s="21">
        <f t="shared" si="8"/>
        <v>140000</v>
      </c>
      <c r="T21" s="13" t="s">
        <v>378</v>
      </c>
    </row>
    <row r="22" spans="1:20" x14ac:dyDescent="0.3">
      <c r="A22" s="13" t="s">
        <v>204</v>
      </c>
      <c r="B22" s="13" t="s">
        <v>379</v>
      </c>
      <c r="C22" s="19" t="s">
        <v>377</v>
      </c>
      <c r="D22" s="19" t="s">
        <v>159</v>
      </c>
      <c r="E22" s="19" t="s">
        <v>341</v>
      </c>
      <c r="F22" s="27">
        <f t="shared" si="0"/>
        <v>1000000</v>
      </c>
      <c r="G22" s="25">
        <v>24</v>
      </c>
      <c r="H22" s="16">
        <v>6</v>
      </c>
      <c r="I22" s="18">
        <f t="shared" si="1"/>
        <v>30</v>
      </c>
      <c r="J22" s="18">
        <f t="shared" si="2"/>
        <v>10</v>
      </c>
      <c r="K22" s="16">
        <v>0</v>
      </c>
      <c r="L22" s="34">
        <v>20</v>
      </c>
      <c r="M22" s="30">
        <f t="shared" si="3"/>
        <v>320</v>
      </c>
      <c r="N22" s="35">
        <v>1</v>
      </c>
      <c r="O22" s="29">
        <f t="shared" si="4"/>
        <v>1000</v>
      </c>
      <c r="P22" s="21">
        <f t="shared" si="5"/>
        <v>320000</v>
      </c>
      <c r="Q22" s="33">
        <f t="shared" si="6"/>
        <v>0.32</v>
      </c>
      <c r="R22" s="21">
        <f t="shared" si="7"/>
        <v>24000</v>
      </c>
      <c r="S22" s="21">
        <f t="shared" si="8"/>
        <v>300000</v>
      </c>
      <c r="T22" s="13"/>
    </row>
    <row r="23" spans="1:20" ht="26.4" x14ac:dyDescent="0.3">
      <c r="A23" s="13" t="s">
        <v>298</v>
      </c>
      <c r="B23" s="13" t="s">
        <v>380</v>
      </c>
      <c r="C23" s="19" t="s">
        <v>377</v>
      </c>
      <c r="D23" s="19" t="s">
        <v>159</v>
      </c>
      <c r="E23" s="19" t="s">
        <v>341</v>
      </c>
      <c r="F23" s="27">
        <f t="shared" si="0"/>
        <v>1000000</v>
      </c>
      <c r="G23" s="25">
        <v>48</v>
      </c>
      <c r="H23" s="16">
        <v>6</v>
      </c>
      <c r="I23" s="18">
        <f t="shared" si="1"/>
        <v>54</v>
      </c>
      <c r="J23" s="18">
        <f t="shared" si="2"/>
        <v>10</v>
      </c>
      <c r="K23" s="16">
        <v>0</v>
      </c>
      <c r="L23" s="34">
        <v>20</v>
      </c>
      <c r="M23" s="30">
        <f t="shared" si="3"/>
        <v>560</v>
      </c>
      <c r="N23" s="32">
        <f>GpsHz/LoopHz</f>
        <v>0.01</v>
      </c>
      <c r="O23" s="29">
        <f t="shared" si="4"/>
        <v>10</v>
      </c>
      <c r="P23" s="21">
        <f t="shared" si="5"/>
        <v>5600</v>
      </c>
      <c r="Q23" s="33">
        <f t="shared" si="6"/>
        <v>5.5999999999999999E-3</v>
      </c>
      <c r="R23" s="21">
        <f t="shared" si="7"/>
        <v>480</v>
      </c>
      <c r="S23" s="21">
        <f t="shared" si="8"/>
        <v>5400</v>
      </c>
      <c r="T23" s="13"/>
    </row>
    <row r="24" spans="1:20" ht="26.4" x14ac:dyDescent="0.3">
      <c r="A24" s="13" t="s">
        <v>221</v>
      </c>
      <c r="B24" s="13" t="s">
        <v>381</v>
      </c>
      <c r="C24" s="19" t="s">
        <v>152</v>
      </c>
      <c r="D24" s="19" t="s">
        <v>152</v>
      </c>
      <c r="E24" s="19" t="s">
        <v>339</v>
      </c>
      <c r="F24" s="27">
        <f t="shared" si="0"/>
        <v>400000</v>
      </c>
      <c r="G24" s="25">
        <v>2</v>
      </c>
      <c r="H24" s="16">
        <v>3</v>
      </c>
      <c r="I24" s="18">
        <f t="shared" si="1"/>
        <v>5</v>
      </c>
      <c r="J24" s="18">
        <f t="shared" si="2"/>
        <v>9</v>
      </c>
      <c r="K24" s="16">
        <v>3</v>
      </c>
      <c r="L24" s="34">
        <v>5</v>
      </c>
      <c r="M24" s="30">
        <f t="shared" si="3"/>
        <v>125</v>
      </c>
      <c r="N24" s="32">
        <f>4*GpsHz/LoopHz</f>
        <v>0.04</v>
      </c>
      <c r="O24" s="29">
        <f t="shared" si="4"/>
        <v>40</v>
      </c>
      <c r="P24" s="21">
        <f t="shared" si="5"/>
        <v>5000</v>
      </c>
      <c r="Q24" s="33">
        <f t="shared" si="6"/>
        <v>5.0000000000000001E-3</v>
      </c>
      <c r="R24" s="21">
        <f t="shared" si="7"/>
        <v>80</v>
      </c>
      <c r="S24" s="21">
        <f t="shared" si="8"/>
        <v>1920</v>
      </c>
      <c r="T24" s="13" t="s">
        <v>382</v>
      </c>
    </row>
    <row r="25" spans="1:20" ht="26.4" x14ac:dyDescent="0.3">
      <c r="A25" s="13" t="s">
        <v>219</v>
      </c>
      <c r="B25" s="13" t="s">
        <v>383</v>
      </c>
      <c r="C25" s="19" t="s">
        <v>152</v>
      </c>
      <c r="D25" s="19" t="s">
        <v>152</v>
      </c>
      <c r="E25" s="19" t="s">
        <v>339</v>
      </c>
      <c r="F25" s="27">
        <f t="shared" si="0"/>
        <v>400000</v>
      </c>
      <c r="G25" s="25">
        <v>100</v>
      </c>
      <c r="H25" s="16">
        <v>3</v>
      </c>
      <c r="I25" s="18">
        <f t="shared" si="1"/>
        <v>103</v>
      </c>
      <c r="J25" s="18">
        <f t="shared" si="2"/>
        <v>9</v>
      </c>
      <c r="K25" s="16">
        <v>3</v>
      </c>
      <c r="L25" s="34">
        <v>5</v>
      </c>
      <c r="M25" s="30">
        <f t="shared" si="3"/>
        <v>2330</v>
      </c>
      <c r="N25" s="32">
        <f>GpsHz/LoopHz</f>
        <v>0.01</v>
      </c>
      <c r="O25" s="29">
        <f t="shared" si="4"/>
        <v>10</v>
      </c>
      <c r="P25" s="21">
        <f t="shared" si="5"/>
        <v>23300</v>
      </c>
      <c r="Q25" s="33">
        <f t="shared" si="6"/>
        <v>2.3300000000000001E-2</v>
      </c>
      <c r="R25" s="21">
        <f t="shared" si="7"/>
        <v>1000</v>
      </c>
      <c r="S25" s="21">
        <f t="shared" si="8"/>
        <v>9300</v>
      </c>
      <c r="T25" s="13" t="s">
        <v>384</v>
      </c>
    </row>
    <row r="26" spans="1:20" ht="39.6" x14ac:dyDescent="0.3">
      <c r="A26" s="13" t="s">
        <v>208</v>
      </c>
      <c r="B26" s="13" t="s">
        <v>385</v>
      </c>
      <c r="C26" s="19" t="s">
        <v>121</v>
      </c>
      <c r="D26" s="19" t="s">
        <v>121</v>
      </c>
      <c r="E26" s="19" t="s">
        <v>343</v>
      </c>
      <c r="F26" s="27">
        <f t="shared" si="0"/>
        <v>24000000</v>
      </c>
      <c r="G26" s="25">
        <v>512</v>
      </c>
      <c r="H26" s="16">
        <v>8</v>
      </c>
      <c r="I26" s="18">
        <f t="shared" si="1"/>
        <v>520</v>
      </c>
      <c r="J26" s="18">
        <f t="shared" si="2"/>
        <v>2</v>
      </c>
      <c r="K26" s="16">
        <v>48</v>
      </c>
      <c r="L26" s="34">
        <v>300</v>
      </c>
      <c r="M26" s="30">
        <f t="shared" si="3"/>
        <v>345.33333333333331</v>
      </c>
      <c r="N26" s="32">
        <f>LOG_BytesPerCycle/512</f>
        <v>0.10303125</v>
      </c>
      <c r="O26" s="29">
        <f t="shared" si="4"/>
        <v>103.03125</v>
      </c>
      <c r="P26" s="21">
        <f t="shared" si="5"/>
        <v>35580.125</v>
      </c>
      <c r="Q26" s="33">
        <f t="shared" si="6"/>
        <v>3.5580124999999997E-2</v>
      </c>
      <c r="R26" s="21">
        <f t="shared" si="7"/>
        <v>52752</v>
      </c>
      <c r="S26" s="21">
        <f t="shared" si="8"/>
        <v>112098</v>
      </c>
      <c r="T26" s="13" t="s">
        <v>386</v>
      </c>
    </row>
    <row r="28" spans="1:20" x14ac:dyDescent="0.3">
      <c r="A28" s="3" t="s">
        <v>387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82.2" customHeight="1" x14ac:dyDescent="0.3">
      <c r="A29" s="12" t="s">
        <v>347</v>
      </c>
      <c r="B29" s="12" t="s">
        <v>25</v>
      </c>
      <c r="C29" s="12" t="s">
        <v>388</v>
      </c>
      <c r="D29" s="12" t="s">
        <v>389</v>
      </c>
      <c r="E29" s="12" t="s">
        <v>327</v>
      </c>
      <c r="F29" s="12" t="s">
        <v>41</v>
      </c>
      <c r="G29" s="12" t="s">
        <v>390</v>
      </c>
      <c r="H29" s="12" t="s">
        <v>391</v>
      </c>
      <c r="I29" s="12" t="s">
        <v>244</v>
      </c>
      <c r="J29" s="12" t="s">
        <v>392</v>
      </c>
      <c r="K29" s="12" t="s">
        <v>42</v>
      </c>
    </row>
    <row r="30" spans="1:20" ht="26.4" x14ac:dyDescent="0.3">
      <c r="A30" s="13" t="s">
        <v>71</v>
      </c>
      <c r="B30" s="13" t="s">
        <v>43</v>
      </c>
      <c r="C30" s="21">
        <f t="shared" ref="C30:C38" si="9">SUMIFS(IDR_Busy,IDR_Bus,A30)</f>
        <v>14000</v>
      </c>
      <c r="D30" s="33">
        <f t="shared" ref="D30:D38" si="10">C30/1000000</f>
        <v>1.4E-2</v>
      </c>
      <c r="E30" s="36">
        <f t="shared" ref="E30:E38" si="11">MaxBusUtil</f>
        <v>0.6</v>
      </c>
      <c r="F30" s="13" t="str">
        <f t="shared" ref="F30:F38" si="12">IF(D30&lt;=E30,"OK","OVER")</f>
        <v>OK</v>
      </c>
      <c r="G30" s="30">
        <f t="shared" ref="G30:G38" si="13">SUMPRODUCT((IDR_Bus=A30)*IDR_Time*ROUNDUP(IDR_N,0))</f>
        <v>14</v>
      </c>
      <c r="H30" s="24" t="s">
        <v>183</v>
      </c>
      <c r="I30" s="37" t="str">
        <f t="shared" ref="I30:I38" si="14">IF(H30="Y",IF(G30&lt;=LoopUs,"OK","OVER"),"async")</f>
        <v>OK</v>
      </c>
      <c r="J30" s="27">
        <f t="shared" ref="J30:J38" si="15">IFERROR(LoopHz*E30/D30,0)</f>
        <v>42857.142857142855</v>
      </c>
      <c r="K30" s="13"/>
    </row>
    <row r="31" spans="1:20" ht="33" customHeight="1" x14ac:dyDescent="0.3">
      <c r="A31" s="13" t="s">
        <v>82</v>
      </c>
      <c r="B31" s="13" t="s">
        <v>43</v>
      </c>
      <c r="C31" s="21">
        <f t="shared" si="9"/>
        <v>237577.5</v>
      </c>
      <c r="D31" s="33">
        <f t="shared" si="10"/>
        <v>0.2375775</v>
      </c>
      <c r="E31" s="36">
        <f t="shared" si="11"/>
        <v>0.6</v>
      </c>
      <c r="F31" s="13" t="str">
        <f t="shared" si="12"/>
        <v>OK</v>
      </c>
      <c r="G31" s="30">
        <f t="shared" si="13"/>
        <v>315</v>
      </c>
      <c r="H31" s="24" t="s">
        <v>183</v>
      </c>
      <c r="I31" s="37" t="str">
        <f t="shared" si="14"/>
        <v>OK</v>
      </c>
      <c r="J31" s="27">
        <f t="shared" si="15"/>
        <v>2525.4916816617738</v>
      </c>
      <c r="K31" s="80" t="s">
        <v>393</v>
      </c>
      <c r="L31" s="81"/>
      <c r="M31" s="81"/>
      <c r="N31" s="81"/>
    </row>
    <row r="32" spans="1:20" ht="26.4" x14ac:dyDescent="0.3">
      <c r="A32" s="13" t="s">
        <v>92</v>
      </c>
      <c r="B32" s="13" t="s">
        <v>43</v>
      </c>
      <c r="C32" s="21">
        <f t="shared" si="9"/>
        <v>138000</v>
      </c>
      <c r="D32" s="33">
        <f t="shared" si="10"/>
        <v>0.13800000000000001</v>
      </c>
      <c r="E32" s="36">
        <f t="shared" si="11"/>
        <v>0.6</v>
      </c>
      <c r="F32" s="13" t="str">
        <f t="shared" si="12"/>
        <v>OK</v>
      </c>
      <c r="G32" s="30">
        <f t="shared" si="13"/>
        <v>138</v>
      </c>
      <c r="H32" s="24" t="s">
        <v>183</v>
      </c>
      <c r="I32" s="37" t="str">
        <f t="shared" si="14"/>
        <v>OK</v>
      </c>
      <c r="J32" s="27">
        <f t="shared" si="15"/>
        <v>4347.8260869565211</v>
      </c>
      <c r="K32" s="13"/>
    </row>
    <row r="33" spans="1:15" ht="39.6" x14ac:dyDescent="0.3">
      <c r="A33" s="13" t="s">
        <v>372</v>
      </c>
      <c r="B33" s="13" t="s">
        <v>43</v>
      </c>
      <c r="C33" s="21">
        <f t="shared" si="9"/>
        <v>140000</v>
      </c>
      <c r="D33" s="33">
        <f t="shared" si="10"/>
        <v>0.14000000000000001</v>
      </c>
      <c r="E33" s="36">
        <f t="shared" si="11"/>
        <v>0.6</v>
      </c>
      <c r="F33" s="13" t="str">
        <f t="shared" si="12"/>
        <v>OK</v>
      </c>
      <c r="G33" s="30">
        <f t="shared" si="13"/>
        <v>140</v>
      </c>
      <c r="H33" s="24" t="s">
        <v>183</v>
      </c>
      <c r="I33" s="37" t="str">
        <f t="shared" si="14"/>
        <v>OK</v>
      </c>
      <c r="J33" s="27">
        <f t="shared" si="15"/>
        <v>4285.7142857142853</v>
      </c>
      <c r="K33" s="13"/>
    </row>
    <row r="34" spans="1:15" ht="39.6" x14ac:dyDescent="0.3">
      <c r="A34" s="13" t="s">
        <v>375</v>
      </c>
      <c r="B34" s="13" t="s">
        <v>47</v>
      </c>
      <c r="C34" s="21">
        <f t="shared" si="9"/>
        <v>220000</v>
      </c>
      <c r="D34" s="33">
        <f t="shared" si="10"/>
        <v>0.22</v>
      </c>
      <c r="E34" s="36">
        <f t="shared" si="11"/>
        <v>0.6</v>
      </c>
      <c r="F34" s="13" t="str">
        <f t="shared" si="12"/>
        <v>OK</v>
      </c>
      <c r="G34" s="30">
        <f t="shared" si="13"/>
        <v>220</v>
      </c>
      <c r="H34" s="24" t="s">
        <v>183</v>
      </c>
      <c r="I34" s="37" t="str">
        <f t="shared" si="14"/>
        <v>OK</v>
      </c>
      <c r="J34" s="27">
        <f t="shared" si="15"/>
        <v>2727.2727272727275</v>
      </c>
      <c r="K34" s="13"/>
    </row>
    <row r="35" spans="1:15" ht="92.4" customHeight="1" x14ac:dyDescent="0.3">
      <c r="A35" s="13" t="s">
        <v>377</v>
      </c>
      <c r="B35" s="13" t="s">
        <v>394</v>
      </c>
      <c r="C35" s="21">
        <f t="shared" si="9"/>
        <v>485600</v>
      </c>
      <c r="D35" s="33">
        <f>C35/1000000</f>
        <v>0.48559999999999998</v>
      </c>
      <c r="E35" s="36">
        <f>MaxBusUtil</f>
        <v>0.6</v>
      </c>
      <c r="F35" s="13" t="str">
        <f t="shared" si="12"/>
        <v>OK</v>
      </c>
      <c r="G35" s="30">
        <f t="shared" si="13"/>
        <v>1040</v>
      </c>
      <c r="H35" s="24" t="s">
        <v>183</v>
      </c>
      <c r="I35" s="37" t="str">
        <f>IF(H35="Y",IF(G35&lt;=LoopUs,"OK","OVER"),"async")</f>
        <v>OVER</v>
      </c>
      <c r="J35" s="27">
        <f>IFERROR(LoopHz*E35/D35,0)</f>
        <v>1235.5848434925865</v>
      </c>
      <c r="K35" s="80" t="s">
        <v>395</v>
      </c>
      <c r="L35" s="81"/>
      <c r="M35" s="81"/>
      <c r="N35" s="81"/>
      <c r="O35" t="s">
        <v>1308</v>
      </c>
    </row>
    <row r="36" spans="1:15" ht="26.4" x14ac:dyDescent="0.3">
      <c r="A36" s="13" t="s">
        <v>139</v>
      </c>
      <c r="B36" s="13" t="s">
        <v>47</v>
      </c>
      <c r="C36" s="21">
        <f t="shared" si="9"/>
        <v>15000</v>
      </c>
      <c r="D36" s="33">
        <f t="shared" si="10"/>
        <v>1.4999999999999999E-2</v>
      </c>
      <c r="E36" s="36">
        <f t="shared" si="11"/>
        <v>0.6</v>
      </c>
      <c r="F36" s="13" t="str">
        <f t="shared" si="12"/>
        <v>OK</v>
      </c>
      <c r="G36" s="30">
        <f t="shared" si="13"/>
        <v>15</v>
      </c>
      <c r="H36" s="24" t="s">
        <v>183</v>
      </c>
      <c r="I36" s="37" t="str">
        <f t="shared" si="14"/>
        <v>OK</v>
      </c>
      <c r="J36" s="27">
        <f t="shared" si="15"/>
        <v>40000</v>
      </c>
      <c r="K36" s="13"/>
    </row>
    <row r="37" spans="1:15" ht="55.2" customHeight="1" x14ac:dyDescent="0.3">
      <c r="A37" s="13" t="s">
        <v>152</v>
      </c>
      <c r="B37" s="13" t="s">
        <v>50</v>
      </c>
      <c r="C37" s="21">
        <f t="shared" si="9"/>
        <v>28300</v>
      </c>
      <c r="D37" s="33">
        <f t="shared" si="10"/>
        <v>2.8299999999999999E-2</v>
      </c>
      <c r="E37" s="36">
        <f t="shared" si="11"/>
        <v>0.6</v>
      </c>
      <c r="F37" s="13" t="str">
        <f t="shared" si="12"/>
        <v>OK</v>
      </c>
      <c r="G37" s="30">
        <f t="shared" si="13"/>
        <v>2455</v>
      </c>
      <c r="H37" s="24" t="s">
        <v>396</v>
      </c>
      <c r="I37" s="37" t="str">
        <f t="shared" si="14"/>
        <v>async</v>
      </c>
      <c r="J37" s="27">
        <f t="shared" si="15"/>
        <v>21201.413427561838</v>
      </c>
      <c r="K37" s="80" t="s">
        <v>397</v>
      </c>
      <c r="L37" s="81"/>
      <c r="M37" s="81"/>
      <c r="N37" s="81"/>
    </row>
    <row r="38" spans="1:15" ht="30" customHeight="1" x14ac:dyDescent="0.3">
      <c r="A38" s="13" t="s">
        <v>121</v>
      </c>
      <c r="B38" s="13" t="s">
        <v>43</v>
      </c>
      <c r="C38" s="21">
        <f t="shared" si="9"/>
        <v>35580.125</v>
      </c>
      <c r="D38" s="33">
        <f t="shared" si="10"/>
        <v>3.5580124999999997E-2</v>
      </c>
      <c r="E38" s="36">
        <f t="shared" si="11"/>
        <v>0.6</v>
      </c>
      <c r="F38" s="13" t="str">
        <f t="shared" si="12"/>
        <v>OK</v>
      </c>
      <c r="G38" s="30">
        <f t="shared" si="13"/>
        <v>345.33333333333331</v>
      </c>
      <c r="H38" s="24" t="s">
        <v>396</v>
      </c>
      <c r="I38" s="37" t="str">
        <f t="shared" si="14"/>
        <v>async</v>
      </c>
      <c r="J38" s="27">
        <f t="shared" si="15"/>
        <v>16863.347163620139</v>
      </c>
      <c r="K38" s="80" t="s">
        <v>398</v>
      </c>
      <c r="L38" s="81"/>
      <c r="M38" s="81"/>
      <c r="N38" s="81"/>
    </row>
  </sheetData>
  <mergeCells count="4">
    <mergeCell ref="K31:N31"/>
    <mergeCell ref="K35:N35"/>
    <mergeCell ref="K37:N37"/>
    <mergeCell ref="K38:N38"/>
  </mergeCells>
  <conditionalFormatting sqref="F30:F38">
    <cfRule type="expression" dxfId="62" priority="2">
      <formula>OR(LEFT(F30,8)="CONFLICT",LEFT(F30,7)="EXCEEDS",LEFT(F30,4)="OVER",LEFT(F30,5)="LIMIT",LEFT(F30,7)="INVALID",LEFT(F30,9)="VIOLATION",LEFT(F30,8)="BAUD ERR",LEFT(F30,4)="HIGH",LEFT(F30,5)="BELOW",LEFT(F30,4)="FAIL",LEFT(F30,7)="TOO BIG")</formula>
    </cfRule>
    <cfRule type="expression" dxfId="61" priority="3">
      <formula>OR(LEFT(F30,8)="MARGINAL",LEFT(F30,3)="MED",LEFT(F30,5)="CHECK",LEFT(F30,3)="TL:")</formula>
    </cfRule>
    <cfRule type="expression" dxfId="60" priority="4">
      <formula>LEFT(F30,2)="OK"</formula>
    </cfRule>
  </conditionalFormatting>
  <conditionalFormatting sqref="I30:I38">
    <cfRule type="expression" dxfId="59" priority="5">
      <formula>OR(LEFT(I30,8)="CONFLICT",LEFT(I30,7)="EXCEEDS",LEFT(I30,4)="OVER",LEFT(I30,5)="LIMIT",LEFT(I30,7)="INVALID",LEFT(I30,9)="VIOLATION",LEFT(I30,8)="BAUD ERR",LEFT(I30,4)="HIGH",LEFT(I30,5)="BELOW",LEFT(I30,4)="FAIL",LEFT(I30,7)="TOO BIG")</formula>
    </cfRule>
    <cfRule type="expression" dxfId="58" priority="6">
      <formula>OR(LEFT(I30,8)="MARGINAL",LEFT(I30,3)="MED",LEFT(I30,5)="CHECK",LEFT(I30,3)="TL:")</formula>
    </cfRule>
    <cfRule type="expression" dxfId="57" priority="7">
      <formula>LEFT(I30,2)="OK"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60"/>
  <sheetViews>
    <sheetView showGridLines="0" zoomScaleNormal="100" workbookViewId="0">
      <pane ySplit="4" topLeftCell="A50" activePane="bottomLeft" state="frozen"/>
      <selection pane="bottomLeft" activeCell="F32" sqref="F32"/>
    </sheetView>
  </sheetViews>
  <sheetFormatPr defaultColWidth="8.6640625" defaultRowHeight="14.4" x14ac:dyDescent="0.3"/>
  <cols>
    <col min="1" max="1" width="34" customWidth="1"/>
    <col min="2" max="2" width="9" customWidth="1"/>
    <col min="3" max="3" width="24" customWidth="1"/>
    <col min="4" max="10" width="9" customWidth="1"/>
    <col min="11" max="11" width="10" customWidth="1"/>
    <col min="12" max="12" width="9" customWidth="1"/>
    <col min="13" max="13" width="70" customWidth="1"/>
  </cols>
  <sheetData>
    <row r="1" spans="1:14" ht="17.399999999999999" x14ac:dyDescent="0.3">
      <c r="A1" s="1" t="s">
        <v>399</v>
      </c>
    </row>
    <row r="2" spans="1:14" x14ac:dyDescent="0.3">
      <c r="A2" s="2" t="s">
        <v>400</v>
      </c>
    </row>
    <row r="3" spans="1:14" x14ac:dyDescent="0.3">
      <c r="A3" s="2" t="s">
        <v>2</v>
      </c>
    </row>
    <row r="5" spans="1:14" x14ac:dyDescent="0.3">
      <c r="A5" s="3" t="s">
        <v>401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5" t="s">
        <v>402</v>
      </c>
      <c r="D6" s="38">
        <v>3.3</v>
      </c>
      <c r="G6" s="7" t="s">
        <v>403</v>
      </c>
      <c r="H6" s="2" t="s">
        <v>404</v>
      </c>
    </row>
    <row r="7" spans="1:14" x14ac:dyDescent="0.3">
      <c r="A7" s="5" t="s">
        <v>405</v>
      </c>
      <c r="D7" s="39">
        <v>6</v>
      </c>
      <c r="E7" s="40">
        <v>7.4</v>
      </c>
      <c r="F7" s="40">
        <v>8.4</v>
      </c>
      <c r="G7" s="7" t="s">
        <v>403</v>
      </c>
      <c r="H7" s="2" t="s">
        <v>406</v>
      </c>
    </row>
    <row r="8" spans="1:14" x14ac:dyDescent="0.3">
      <c r="A8" s="5" t="s">
        <v>407</v>
      </c>
      <c r="D8" s="9">
        <v>0.7</v>
      </c>
      <c r="E8" s="41">
        <v>0.85</v>
      </c>
      <c r="F8" s="41">
        <v>0.87</v>
      </c>
      <c r="G8" s="7"/>
      <c r="H8" s="2" t="s">
        <v>408</v>
      </c>
    </row>
    <row r="9" spans="1:14" x14ac:dyDescent="0.3">
      <c r="A9" s="5" t="s">
        <v>409</v>
      </c>
      <c r="D9" s="42">
        <v>2.1999999999999999E-2</v>
      </c>
      <c r="G9" s="7" t="s">
        <v>410</v>
      </c>
      <c r="H9" s="2" t="s">
        <v>411</v>
      </c>
    </row>
    <row r="10" spans="1:14" x14ac:dyDescent="0.3">
      <c r="A10" s="5" t="s">
        <v>412</v>
      </c>
      <c r="D10" s="6">
        <v>2000</v>
      </c>
      <c r="G10" s="7" t="s">
        <v>410</v>
      </c>
      <c r="H10" s="2" t="s">
        <v>413</v>
      </c>
    </row>
    <row r="11" spans="1:14" x14ac:dyDescent="0.3">
      <c r="A11" s="5" t="s">
        <v>414</v>
      </c>
      <c r="D11" s="42">
        <v>0.06</v>
      </c>
      <c r="G11" s="7" t="s">
        <v>415</v>
      </c>
      <c r="H11" s="2" t="s">
        <v>416</v>
      </c>
    </row>
    <row r="12" spans="1:14" x14ac:dyDescent="0.3">
      <c r="A12" s="5" t="s">
        <v>417</v>
      </c>
      <c r="D12" s="6">
        <v>4000</v>
      </c>
      <c r="G12" s="7" t="s">
        <v>410</v>
      </c>
      <c r="H12" s="2" t="s">
        <v>418</v>
      </c>
    </row>
    <row r="13" spans="1:14" x14ac:dyDescent="0.3">
      <c r="A13" s="5" t="s">
        <v>419</v>
      </c>
      <c r="D13" s="6">
        <v>2000</v>
      </c>
      <c r="E13" s="41">
        <v>0.8</v>
      </c>
      <c r="G13" s="7" t="s">
        <v>420</v>
      </c>
      <c r="H13" s="2" t="s">
        <v>421</v>
      </c>
    </row>
    <row r="14" spans="1:14" x14ac:dyDescent="0.3">
      <c r="A14" s="5" t="s">
        <v>422</v>
      </c>
      <c r="D14" s="38">
        <v>1.9</v>
      </c>
      <c r="E14" s="20">
        <v>1000</v>
      </c>
      <c r="G14" s="7" t="s">
        <v>403</v>
      </c>
      <c r="H14" s="2" t="s">
        <v>423</v>
      </c>
    </row>
    <row r="15" spans="1:14" x14ac:dyDescent="0.3">
      <c r="A15" s="5" t="s">
        <v>424</v>
      </c>
      <c r="D15" s="9">
        <v>0.5</v>
      </c>
      <c r="G15" s="7"/>
      <c r="H15" s="2" t="s">
        <v>425</v>
      </c>
    </row>
    <row r="16" spans="1:14" x14ac:dyDescent="0.3">
      <c r="A16" s="5" t="s">
        <v>426</v>
      </c>
      <c r="D16" s="6">
        <v>2700</v>
      </c>
      <c r="E16" s="20">
        <v>4700</v>
      </c>
      <c r="G16" s="7" t="s">
        <v>415</v>
      </c>
      <c r="H16" s="2" t="s">
        <v>427</v>
      </c>
    </row>
    <row r="17" spans="1:14" x14ac:dyDescent="0.3">
      <c r="A17" s="5" t="s">
        <v>428</v>
      </c>
      <c r="D17" s="43">
        <v>0.5</v>
      </c>
      <c r="E17" s="44">
        <v>80</v>
      </c>
      <c r="G17" s="7" t="s">
        <v>410</v>
      </c>
      <c r="H17" s="2" t="s">
        <v>429</v>
      </c>
    </row>
    <row r="18" spans="1:14" x14ac:dyDescent="0.3">
      <c r="A18" s="5" t="s">
        <v>430</v>
      </c>
      <c r="D18" s="38">
        <v>2</v>
      </c>
      <c r="E18" s="20">
        <v>120</v>
      </c>
      <c r="G18" s="7" t="s">
        <v>403</v>
      </c>
      <c r="H18" s="2" t="s">
        <v>431</v>
      </c>
    </row>
    <row r="19" spans="1:14" x14ac:dyDescent="0.3">
      <c r="A19" s="5" t="s">
        <v>432</v>
      </c>
      <c r="D19" s="43">
        <v>0.8</v>
      </c>
      <c r="G19" s="7" t="s">
        <v>410</v>
      </c>
      <c r="H19" s="2" t="s">
        <v>433</v>
      </c>
    </row>
    <row r="20" spans="1:14" x14ac:dyDescent="0.3">
      <c r="A20" s="5" t="s">
        <v>434</v>
      </c>
      <c r="D20" s="43">
        <v>2</v>
      </c>
      <c r="E20" s="35">
        <v>0.5</v>
      </c>
      <c r="G20" s="7" t="s">
        <v>410</v>
      </c>
      <c r="H20" s="2" t="s">
        <v>435</v>
      </c>
    </row>
    <row r="21" spans="1:14" x14ac:dyDescent="0.3">
      <c r="A21" s="5" t="s">
        <v>436</v>
      </c>
      <c r="D21" s="43">
        <v>0.5</v>
      </c>
      <c r="E21" s="35">
        <v>0.1</v>
      </c>
      <c r="G21" s="7" t="s">
        <v>410</v>
      </c>
      <c r="H21" s="2" t="s">
        <v>437</v>
      </c>
    </row>
    <row r="22" spans="1:14" x14ac:dyDescent="0.3">
      <c r="A22" s="5" t="s">
        <v>438</v>
      </c>
      <c r="D22" s="38">
        <v>0.5</v>
      </c>
      <c r="E22" s="45">
        <v>1.4</v>
      </c>
      <c r="G22" s="7"/>
      <c r="H22" s="2" t="s">
        <v>439</v>
      </c>
    </row>
    <row r="24" spans="1:14" x14ac:dyDescent="0.3">
      <c r="A24" s="3" t="s">
        <v>440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42" customHeight="1" x14ac:dyDescent="0.3">
      <c r="A25" s="12" t="s">
        <v>25</v>
      </c>
      <c r="B25" s="12" t="s">
        <v>441</v>
      </c>
      <c r="C25" s="12" t="s">
        <v>442</v>
      </c>
      <c r="D25" s="12" t="s">
        <v>443</v>
      </c>
      <c r="E25" s="12" t="s">
        <v>444</v>
      </c>
      <c r="F25" s="12" t="s">
        <v>445</v>
      </c>
      <c r="G25" s="12" t="s">
        <v>446</v>
      </c>
      <c r="H25" s="12" t="s">
        <v>447</v>
      </c>
      <c r="I25" s="12" t="s">
        <v>448</v>
      </c>
      <c r="J25" s="12" t="s">
        <v>449</v>
      </c>
      <c r="K25" s="12" t="s">
        <v>450</v>
      </c>
      <c r="L25" s="12" t="s">
        <v>451</v>
      </c>
      <c r="M25" s="12" t="s">
        <v>452</v>
      </c>
    </row>
    <row r="26" spans="1:14" x14ac:dyDescent="0.3">
      <c r="A26" s="13" t="s">
        <v>43</v>
      </c>
      <c r="B26" s="13" t="s">
        <v>453</v>
      </c>
      <c r="C26" s="13" t="s">
        <v>454</v>
      </c>
      <c r="D26" s="46">
        <f t="shared" ref="D26:D43" si="0">Vrail</f>
        <v>3.3</v>
      </c>
      <c r="E26" s="47">
        <f>F26*MCU_min</f>
        <v>1</v>
      </c>
      <c r="F26" s="48">
        <f>Ibase_F4+KF4*INDEX(CLK_SYS,MATCH(A26,CLK_Board,0))</f>
        <v>2</v>
      </c>
      <c r="G26" s="47">
        <f>F26*MCU_max</f>
        <v>2.8</v>
      </c>
      <c r="H26" s="47">
        <f>G26</f>
        <v>2.8</v>
      </c>
      <c r="I26" s="30">
        <f t="shared" ref="I26:I42" si="1">D26*E26</f>
        <v>3.3</v>
      </c>
      <c r="J26" s="30">
        <f t="shared" ref="J26:J42" si="2">D26*F26</f>
        <v>6.6</v>
      </c>
      <c r="K26" s="30">
        <f t="shared" ref="K26:K42" si="3">D26*G26</f>
        <v>9.2399999999999984</v>
      </c>
      <c r="L26" s="30">
        <f t="shared" ref="L26:L42" si="4">D26*H26</f>
        <v>9.2399999999999984</v>
      </c>
      <c r="M26" s="13" t="s">
        <v>455</v>
      </c>
    </row>
    <row r="27" spans="1:14" ht="26.4" x14ac:dyDescent="0.3">
      <c r="A27" s="13" t="s">
        <v>43</v>
      </c>
      <c r="B27" s="13" t="s">
        <v>456</v>
      </c>
      <c r="C27" s="13" t="s">
        <v>457</v>
      </c>
      <c r="D27" s="46">
        <f t="shared" si="0"/>
        <v>3.3</v>
      </c>
      <c r="E27" s="47">
        <v>3.0000000000000001E-3</v>
      </c>
      <c r="F27" s="47">
        <v>0.9</v>
      </c>
      <c r="G27" s="47">
        <v>1.25</v>
      </c>
      <c r="H27" s="47">
        <v>1.25</v>
      </c>
      <c r="I27" s="30">
        <f t="shared" si="1"/>
        <v>9.8999999999999991E-3</v>
      </c>
      <c r="J27" s="30">
        <f t="shared" si="2"/>
        <v>2.9699999999999998</v>
      </c>
      <c r="K27" s="30">
        <f t="shared" si="3"/>
        <v>4.125</v>
      </c>
      <c r="L27" s="30">
        <f t="shared" si="4"/>
        <v>4.125</v>
      </c>
      <c r="M27" s="13" t="s">
        <v>458</v>
      </c>
    </row>
    <row r="28" spans="1:14" ht="26.4" x14ac:dyDescent="0.3">
      <c r="A28" s="13" t="s">
        <v>43</v>
      </c>
      <c r="B28" s="13" t="s">
        <v>459</v>
      </c>
      <c r="C28" s="13" t="s">
        <v>460</v>
      </c>
      <c r="D28" s="46">
        <f t="shared" si="0"/>
        <v>3.3</v>
      </c>
      <c r="E28" s="47">
        <v>1E-3</v>
      </c>
      <c r="F28" s="47">
        <v>0.45</v>
      </c>
      <c r="G28" s="47">
        <v>1</v>
      </c>
      <c r="H28" s="47">
        <v>1</v>
      </c>
      <c r="I28" s="30">
        <f t="shared" si="1"/>
        <v>3.3E-3</v>
      </c>
      <c r="J28" s="30">
        <f t="shared" si="2"/>
        <v>1.4849999999999999</v>
      </c>
      <c r="K28" s="30">
        <f t="shared" si="3"/>
        <v>3.3</v>
      </c>
      <c r="L28" s="30">
        <f t="shared" si="4"/>
        <v>3.3</v>
      </c>
      <c r="M28" s="13" t="s">
        <v>461</v>
      </c>
    </row>
    <row r="29" spans="1:14" ht="26.4" x14ac:dyDescent="0.3">
      <c r="A29" s="13" t="s">
        <v>43</v>
      </c>
      <c r="B29" s="13" t="s">
        <v>462</v>
      </c>
      <c r="C29" s="13" t="s">
        <v>463</v>
      </c>
      <c r="D29" s="46">
        <f t="shared" si="0"/>
        <v>3.3</v>
      </c>
      <c r="E29" s="47">
        <f>SD_Idle</f>
        <v>0.5</v>
      </c>
      <c r="F29" s="48">
        <f>SD_Idle+INDEX(BUS_Util,MATCH("B1-SDIO",BUS_ID,0))*SD_Act</f>
        <v>3.3464099999999997</v>
      </c>
      <c r="G29" s="47">
        <f>SD_Act</f>
        <v>80</v>
      </c>
      <c r="H29" s="47">
        <v>200</v>
      </c>
      <c r="I29" s="30">
        <f t="shared" si="1"/>
        <v>1.65</v>
      </c>
      <c r="J29" s="30">
        <f t="shared" si="2"/>
        <v>11.043152999999998</v>
      </c>
      <c r="K29" s="30">
        <f t="shared" si="3"/>
        <v>264</v>
      </c>
      <c r="L29" s="30">
        <f t="shared" si="4"/>
        <v>660</v>
      </c>
      <c r="M29" s="13" t="s">
        <v>464</v>
      </c>
    </row>
    <row r="30" spans="1:14" x14ac:dyDescent="0.3">
      <c r="A30" s="13" t="s">
        <v>43</v>
      </c>
      <c r="B30" s="13" t="s">
        <v>465</v>
      </c>
      <c r="C30" s="13" t="s">
        <v>466</v>
      </c>
      <c r="D30" s="46">
        <f t="shared" si="0"/>
        <v>3.3</v>
      </c>
      <c r="E30" s="47">
        <f>RS_Iq</f>
        <v>0.8</v>
      </c>
      <c r="F30" s="48">
        <f>RS_Iq+INDEX(BUS_Util,MATCH("RS485",BUS_ID,0))*0.5*RS_Vod/RS_Rload*1000</f>
        <v>4.8466666666666658</v>
      </c>
      <c r="G30" s="47">
        <f>RS_Iq+RS_Vod/RS_Rload*1000</f>
        <v>17.466666666666669</v>
      </c>
      <c r="H30" s="47">
        <f>G30</f>
        <v>17.466666666666669</v>
      </c>
      <c r="I30" s="30">
        <f t="shared" si="1"/>
        <v>2.64</v>
      </c>
      <c r="J30" s="30">
        <f t="shared" si="2"/>
        <v>15.993999999999996</v>
      </c>
      <c r="K30" s="30">
        <f t="shared" si="3"/>
        <v>57.64</v>
      </c>
      <c r="L30" s="30">
        <f t="shared" si="4"/>
        <v>57.64</v>
      </c>
      <c r="M30" s="13" t="s">
        <v>467</v>
      </c>
    </row>
    <row r="31" spans="1:14" x14ac:dyDescent="0.3">
      <c r="A31" s="13" t="s">
        <v>43</v>
      </c>
      <c r="B31" s="13" t="s">
        <v>468</v>
      </c>
      <c r="C31" s="13" t="s">
        <v>469</v>
      </c>
      <c r="D31" s="46">
        <f t="shared" si="0"/>
        <v>3.3</v>
      </c>
      <c r="E31" s="47">
        <v>0</v>
      </c>
      <c r="F31" s="48">
        <f>2*Vrail/Rp_B1*1000*0.5*INDEX(BUS_Util,MATCH("B1-I2C1",BUS_ID,0))</f>
        <v>0.29037249999999998</v>
      </c>
      <c r="G31" s="47">
        <f>2*Vrail/Rp_B1*1000</f>
        <v>2.4444444444444442</v>
      </c>
      <c r="H31" s="47">
        <f>G31</f>
        <v>2.4444444444444442</v>
      </c>
      <c r="I31" s="30">
        <f t="shared" si="1"/>
        <v>0</v>
      </c>
      <c r="J31" s="30">
        <f t="shared" si="2"/>
        <v>0.95822924999999992</v>
      </c>
      <c r="K31" s="30">
        <f t="shared" si="3"/>
        <v>8.0666666666666647</v>
      </c>
      <c r="L31" s="30">
        <f t="shared" si="4"/>
        <v>8.0666666666666647</v>
      </c>
      <c r="M31" s="13" t="s">
        <v>470</v>
      </c>
    </row>
    <row r="32" spans="1:14" x14ac:dyDescent="0.3">
      <c r="A32" s="13" t="s">
        <v>43</v>
      </c>
      <c r="B32" s="13" t="s">
        <v>471</v>
      </c>
      <c r="C32" s="13" t="s">
        <v>472</v>
      </c>
      <c r="D32" s="46">
        <f t="shared" si="0"/>
        <v>3.3</v>
      </c>
      <c r="E32" s="47">
        <v>0</v>
      </c>
      <c r="F32" s="48">
        <f>4*Vrail/10000*1000*0.5*INDEX(BUS_Util,MATCH("B1-SDIO",BUS_ID,0))</f>
        <v>2.34828825E-2</v>
      </c>
      <c r="G32" s="47">
        <f>4*Vrail/10000*1000</f>
        <v>1.32</v>
      </c>
      <c r="H32" s="47">
        <f>G32</f>
        <v>1.32</v>
      </c>
      <c r="I32" s="30">
        <f t="shared" si="1"/>
        <v>0</v>
      </c>
      <c r="J32" s="30">
        <f t="shared" si="2"/>
        <v>7.7493512249999993E-2</v>
      </c>
      <c r="K32" s="30">
        <f t="shared" si="3"/>
        <v>4.3559999999999999</v>
      </c>
      <c r="L32" s="30">
        <f t="shared" si="4"/>
        <v>4.3559999999999999</v>
      </c>
      <c r="M32" s="13"/>
    </row>
    <row r="33" spans="1:13" x14ac:dyDescent="0.3">
      <c r="A33" s="13" t="s">
        <v>43</v>
      </c>
      <c r="B33" s="13" t="s">
        <v>473</v>
      </c>
      <c r="C33" s="13" t="s">
        <v>474</v>
      </c>
      <c r="D33" s="46">
        <f t="shared" si="0"/>
        <v>3.3</v>
      </c>
      <c r="E33" s="47">
        <v>0</v>
      </c>
      <c r="F33" s="47">
        <f>G33*LED_Duty</f>
        <v>0.7</v>
      </c>
      <c r="G33" s="47">
        <f>(Vrail-LED_Vf)/LED_R*1000</f>
        <v>1.4</v>
      </c>
      <c r="H33" s="47">
        <f>G33</f>
        <v>1.4</v>
      </c>
      <c r="I33" s="30">
        <f t="shared" si="1"/>
        <v>0</v>
      </c>
      <c r="J33" s="30">
        <f t="shared" si="2"/>
        <v>2.3099999999999996</v>
      </c>
      <c r="K33" s="30">
        <f t="shared" si="3"/>
        <v>4.6199999999999992</v>
      </c>
      <c r="L33" s="30">
        <f t="shared" si="4"/>
        <v>4.6199999999999992</v>
      </c>
      <c r="M33" s="13" t="s">
        <v>475</v>
      </c>
    </row>
    <row r="34" spans="1:13" x14ac:dyDescent="0.3">
      <c r="A34" s="13" t="s">
        <v>47</v>
      </c>
      <c r="B34" s="13" t="s">
        <v>476</v>
      </c>
      <c r="C34" s="13" t="s">
        <v>477</v>
      </c>
      <c r="D34" s="46">
        <f t="shared" si="0"/>
        <v>3.3</v>
      </c>
      <c r="E34" s="47">
        <f>F34*MCU_min</f>
        <v>1.05</v>
      </c>
      <c r="F34" s="48">
        <f>Ibase_G0+kG0*INDEX(CLK_SYS,MATCH(A34,CLK_Board,0))</f>
        <v>2.1</v>
      </c>
      <c r="G34" s="47">
        <f>F34*MCU_max</f>
        <v>2.94</v>
      </c>
      <c r="H34" s="47">
        <f>G34</f>
        <v>2.94</v>
      </c>
      <c r="I34" s="30">
        <f t="shared" si="1"/>
        <v>3.4649999999999999</v>
      </c>
      <c r="J34" s="30">
        <f t="shared" si="2"/>
        <v>6.93</v>
      </c>
      <c r="K34" s="30">
        <f t="shared" si="3"/>
        <v>9.702</v>
      </c>
      <c r="L34" s="30">
        <f t="shared" si="4"/>
        <v>9.702</v>
      </c>
      <c r="M34" s="13" t="s">
        <v>478</v>
      </c>
    </row>
    <row r="35" spans="1:13" x14ac:dyDescent="0.3">
      <c r="A35" s="13" t="s">
        <v>47</v>
      </c>
      <c r="B35" s="13" t="s">
        <v>479</v>
      </c>
      <c r="C35" s="13" t="s">
        <v>480</v>
      </c>
      <c r="D35" s="46">
        <f t="shared" si="0"/>
        <v>3.3</v>
      </c>
      <c r="E35" s="47">
        <v>4.0000000000000001E-3</v>
      </c>
      <c r="F35" s="47">
        <v>0.79</v>
      </c>
      <c r="G35" s="47">
        <v>1</v>
      </c>
      <c r="H35" s="47">
        <v>1</v>
      </c>
      <c r="I35" s="30">
        <f t="shared" si="1"/>
        <v>1.32E-2</v>
      </c>
      <c r="J35" s="30">
        <f t="shared" si="2"/>
        <v>2.6069999999999998</v>
      </c>
      <c r="K35" s="30">
        <f t="shared" si="3"/>
        <v>3.3</v>
      </c>
      <c r="L35" s="30">
        <f t="shared" si="4"/>
        <v>3.3</v>
      </c>
      <c r="M35" s="13" t="s">
        <v>481</v>
      </c>
    </row>
    <row r="36" spans="1:13" x14ac:dyDescent="0.3">
      <c r="A36" s="13" t="s">
        <v>47</v>
      </c>
      <c r="B36" s="13" t="s">
        <v>482</v>
      </c>
      <c r="C36" s="13" t="s">
        <v>474</v>
      </c>
      <c r="D36" s="46">
        <f t="shared" si="0"/>
        <v>3.3</v>
      </c>
      <c r="E36" s="47">
        <v>0</v>
      </c>
      <c r="F36" s="47">
        <f>G36*LED_Duty</f>
        <v>0.7</v>
      </c>
      <c r="G36" s="47">
        <f>(Vrail-LED_Vf)/LED_R*1000</f>
        <v>1.4</v>
      </c>
      <c r="H36" s="47">
        <f>G36</f>
        <v>1.4</v>
      </c>
      <c r="I36" s="30">
        <f t="shared" si="1"/>
        <v>0</v>
      </c>
      <c r="J36" s="30">
        <f t="shared" si="2"/>
        <v>2.3099999999999996</v>
      </c>
      <c r="K36" s="30">
        <f t="shared" si="3"/>
        <v>4.6199999999999992</v>
      </c>
      <c r="L36" s="30">
        <f t="shared" si="4"/>
        <v>4.6199999999999992</v>
      </c>
      <c r="M36" s="13"/>
    </row>
    <row r="37" spans="1:13" x14ac:dyDescent="0.3">
      <c r="A37" s="13" t="s">
        <v>50</v>
      </c>
      <c r="B37" s="13" t="s">
        <v>483</v>
      </c>
      <c r="C37" s="13" t="s">
        <v>477</v>
      </c>
      <c r="D37" s="46">
        <f t="shared" si="0"/>
        <v>3.3</v>
      </c>
      <c r="E37" s="47">
        <f>F37*MCU_min</f>
        <v>1.05</v>
      </c>
      <c r="F37" s="48">
        <f>Ibase_G0+kG0*INDEX(CLK_SYS,MATCH(A37,CLK_Board,0))</f>
        <v>2.1</v>
      </c>
      <c r="G37" s="47">
        <f>F37*MCU_max</f>
        <v>2.94</v>
      </c>
      <c r="H37" s="47">
        <f>G37</f>
        <v>2.94</v>
      </c>
      <c r="I37" s="30">
        <f t="shared" si="1"/>
        <v>3.4649999999999999</v>
      </c>
      <c r="J37" s="30">
        <f t="shared" si="2"/>
        <v>6.93</v>
      </c>
      <c r="K37" s="30">
        <f t="shared" si="3"/>
        <v>9.702</v>
      </c>
      <c r="L37" s="30">
        <f t="shared" si="4"/>
        <v>9.702</v>
      </c>
      <c r="M37" s="13" t="s">
        <v>478</v>
      </c>
    </row>
    <row r="38" spans="1:13" ht="26.4" x14ac:dyDescent="0.3">
      <c r="A38" s="13" t="s">
        <v>50</v>
      </c>
      <c r="B38" s="13" t="s">
        <v>484</v>
      </c>
      <c r="C38" s="13" t="s">
        <v>485</v>
      </c>
      <c r="D38" s="46">
        <f t="shared" si="0"/>
        <v>3.3</v>
      </c>
      <c r="E38" s="47">
        <v>4.5999999999999999E-2</v>
      </c>
      <c r="F38" s="47">
        <v>11.8</v>
      </c>
      <c r="G38" s="47">
        <v>15.3</v>
      </c>
      <c r="H38" s="47">
        <v>100</v>
      </c>
      <c r="I38" s="30">
        <f t="shared" si="1"/>
        <v>0.15179999999999999</v>
      </c>
      <c r="J38" s="30">
        <f t="shared" si="2"/>
        <v>38.94</v>
      </c>
      <c r="K38" s="30">
        <f t="shared" si="3"/>
        <v>50.49</v>
      </c>
      <c r="L38" s="30">
        <f t="shared" si="4"/>
        <v>330</v>
      </c>
      <c r="M38" s="13" t="s">
        <v>486</v>
      </c>
    </row>
    <row r="39" spans="1:13" ht="26.4" x14ac:dyDescent="0.3">
      <c r="A39" s="13" t="s">
        <v>50</v>
      </c>
      <c r="B39" s="13" t="s">
        <v>487</v>
      </c>
      <c r="C39" s="13" t="s">
        <v>488</v>
      </c>
      <c r="D39" s="46">
        <f t="shared" si="0"/>
        <v>3.3</v>
      </c>
      <c r="E39" s="47">
        <v>0</v>
      </c>
      <c r="F39" s="47">
        <v>10</v>
      </c>
      <c r="G39" s="47">
        <v>20</v>
      </c>
      <c r="H39" s="47">
        <v>20</v>
      </c>
      <c r="I39" s="30">
        <f t="shared" si="1"/>
        <v>0</v>
      </c>
      <c r="J39" s="30">
        <f t="shared" si="2"/>
        <v>33</v>
      </c>
      <c r="K39" s="30">
        <f t="shared" si="3"/>
        <v>66</v>
      </c>
      <c r="L39" s="30">
        <f t="shared" si="4"/>
        <v>66</v>
      </c>
      <c r="M39" s="13" t="s">
        <v>489</v>
      </c>
    </row>
    <row r="40" spans="1:13" x14ac:dyDescent="0.3">
      <c r="A40" s="13" t="s">
        <v>50</v>
      </c>
      <c r="B40" s="13" t="s">
        <v>490</v>
      </c>
      <c r="C40" s="13" t="s">
        <v>466</v>
      </c>
      <c r="D40" s="46">
        <f t="shared" si="0"/>
        <v>3.3</v>
      </c>
      <c r="E40" s="47">
        <f>RS_Iq</f>
        <v>0.8</v>
      </c>
      <c r="F40" s="48">
        <f>RS_Iq+INDEX(BUS_Util,MATCH("RS485",BUS_ID,0))*0.5*RS_Vod/RS_Rload*1000</f>
        <v>4.8466666666666658</v>
      </c>
      <c r="G40" s="47">
        <f>RS_Iq+RS_Vod/RS_Rload*1000</f>
        <v>17.466666666666669</v>
      </c>
      <c r="H40" s="47">
        <f>G40</f>
        <v>17.466666666666669</v>
      </c>
      <c r="I40" s="30">
        <f t="shared" si="1"/>
        <v>2.64</v>
      </c>
      <c r="J40" s="30">
        <f t="shared" si="2"/>
        <v>15.993999999999996</v>
      </c>
      <c r="K40" s="30">
        <f t="shared" si="3"/>
        <v>57.64</v>
      </c>
      <c r="L40" s="30">
        <f t="shared" si="4"/>
        <v>57.64</v>
      </c>
      <c r="M40" s="13"/>
    </row>
    <row r="41" spans="1:13" x14ac:dyDescent="0.3">
      <c r="A41" s="13" t="s">
        <v>50</v>
      </c>
      <c r="B41" s="13" t="s">
        <v>491</v>
      </c>
      <c r="C41" s="13" t="s">
        <v>492</v>
      </c>
      <c r="D41" s="46">
        <f t="shared" si="0"/>
        <v>3.3</v>
      </c>
      <c r="E41" s="47">
        <v>0</v>
      </c>
      <c r="F41" s="48">
        <f>2*Vrail/Rp_B3*1000*0.5*INDEX(BUS_Util,MATCH("B3-I2C1",BUS_ID,0))</f>
        <v>1.9870212765957445E-2</v>
      </c>
      <c r="G41" s="47">
        <f>2*Vrail/Rp_B3*1000</f>
        <v>1.4042553191489362</v>
      </c>
      <c r="H41" s="47">
        <f>G41</f>
        <v>1.4042553191489362</v>
      </c>
      <c r="I41" s="30">
        <f t="shared" si="1"/>
        <v>0</v>
      </c>
      <c r="J41" s="30">
        <f t="shared" si="2"/>
        <v>6.5571702127659559E-2</v>
      </c>
      <c r="K41" s="30">
        <f t="shared" si="3"/>
        <v>4.6340425531914891</v>
      </c>
      <c r="L41" s="30">
        <f t="shared" si="4"/>
        <v>4.6340425531914891</v>
      </c>
      <c r="M41" s="13"/>
    </row>
    <row r="42" spans="1:13" x14ac:dyDescent="0.3">
      <c r="A42" s="13" t="s">
        <v>50</v>
      </c>
      <c r="B42" s="13" t="s">
        <v>493</v>
      </c>
      <c r="C42" s="13" t="s">
        <v>474</v>
      </c>
      <c r="D42" s="46">
        <f t="shared" si="0"/>
        <v>3.3</v>
      </c>
      <c r="E42" s="47">
        <v>0</v>
      </c>
      <c r="F42" s="47">
        <f>G42*LED_Duty</f>
        <v>0.7</v>
      </c>
      <c r="G42" s="47">
        <f>(Vrail-LED_Vf)/LED_R*1000</f>
        <v>1.4</v>
      </c>
      <c r="H42" s="47">
        <f>G42</f>
        <v>1.4</v>
      </c>
      <c r="I42" s="30">
        <f t="shared" si="1"/>
        <v>0</v>
      </c>
      <c r="J42" s="30">
        <f t="shared" si="2"/>
        <v>2.3099999999999996</v>
      </c>
      <c r="K42" s="30">
        <f t="shared" si="3"/>
        <v>4.6199999999999992</v>
      </c>
      <c r="L42" s="30">
        <f t="shared" si="4"/>
        <v>4.6199999999999992</v>
      </c>
      <c r="M42" s="13"/>
    </row>
    <row r="43" spans="1:13" x14ac:dyDescent="0.3">
      <c r="A43" s="49" t="s">
        <v>494</v>
      </c>
      <c r="B43" s="50"/>
      <c r="C43" s="50"/>
      <c r="D43" s="51">
        <f t="shared" si="0"/>
        <v>3.3</v>
      </c>
      <c r="E43" s="52">
        <f t="shared" ref="E43:L43" si="5">SUM(E26:E42)</f>
        <v>5.2540000000000004</v>
      </c>
      <c r="F43" s="52">
        <f t="shared" si="5"/>
        <v>45.613468928599296</v>
      </c>
      <c r="G43" s="52">
        <f t="shared" si="5"/>
        <v>171.53203309692674</v>
      </c>
      <c r="H43" s="52">
        <f t="shared" si="5"/>
        <v>376.23203309692673</v>
      </c>
      <c r="I43" s="53">
        <f t="shared" si="5"/>
        <v>17.338199999999997</v>
      </c>
      <c r="J43" s="53">
        <f t="shared" si="5"/>
        <v>150.52444746437769</v>
      </c>
      <c r="K43" s="53">
        <f t="shared" si="5"/>
        <v>566.05570921985827</v>
      </c>
      <c r="L43" s="53">
        <f t="shared" si="5"/>
        <v>1241.565709219858</v>
      </c>
      <c r="M43" s="50" t="s">
        <v>495</v>
      </c>
    </row>
    <row r="45" spans="1:13" x14ac:dyDescent="0.3">
      <c r="A45" s="5" t="s">
        <v>496</v>
      </c>
    </row>
    <row r="46" spans="1:13" ht="42" customHeight="1" x14ac:dyDescent="0.3">
      <c r="A46" s="12" t="s">
        <v>25</v>
      </c>
      <c r="B46" s="12" t="s">
        <v>444</v>
      </c>
      <c r="C46" s="12" t="s">
        <v>445</v>
      </c>
      <c r="D46" s="12" t="s">
        <v>446</v>
      </c>
      <c r="E46" s="12" t="s">
        <v>447</v>
      </c>
    </row>
    <row r="47" spans="1:13" x14ac:dyDescent="0.3">
      <c r="A47" s="13" t="s">
        <v>43</v>
      </c>
      <c r="B47" s="47">
        <f>SUMIFS(E$26:E$42,$A$26:$A$42,A47)</f>
        <v>2.3039999999999998</v>
      </c>
      <c r="C47" s="47">
        <f>SUMIFS(F$26:F$42,$A$26:$A$42,A47)</f>
        <v>12.556932049166665</v>
      </c>
      <c r="D47" s="47">
        <f>SUMIFS(G$26:G$42,$A$26:$A$42,A47)</f>
        <v>107.68111111111111</v>
      </c>
      <c r="E47" s="47">
        <f>SUMIFS(H$26:H$42,$A$26:$A$42,A47)</f>
        <v>227.68111111111114</v>
      </c>
    </row>
    <row r="48" spans="1:13" x14ac:dyDescent="0.3">
      <c r="A48" s="13" t="s">
        <v>47</v>
      </c>
      <c r="B48" s="47">
        <f>SUMIFS(E$26:E$42,$A$26:$A$42,A48)</f>
        <v>1.054</v>
      </c>
      <c r="C48" s="47">
        <f>SUMIFS(F$26:F$42,$A$26:$A$42,A48)</f>
        <v>3.59</v>
      </c>
      <c r="D48" s="47">
        <f>SUMIFS(G$26:G$42,$A$26:$A$42,A48)</f>
        <v>5.34</v>
      </c>
      <c r="E48" s="47">
        <f>SUMIFS(H$26:H$42,$A$26:$A$42,A48)</f>
        <v>5.34</v>
      </c>
    </row>
    <row r="49" spans="1:14" x14ac:dyDescent="0.3">
      <c r="A49" s="13" t="s">
        <v>50</v>
      </c>
      <c r="B49" s="47">
        <f>SUMIFS(E$26:E$42,$A$26:$A$42,A49)</f>
        <v>1.8960000000000001</v>
      </c>
      <c r="C49" s="47">
        <f>SUMIFS(F$26:F$42,$A$26:$A$42,A49)</f>
        <v>29.466536879432621</v>
      </c>
      <c r="D49" s="47">
        <f>SUMIFS(G$26:G$42,$A$26:$A$42,A49)</f>
        <v>58.510921985815607</v>
      </c>
      <c r="E49" s="47">
        <f>SUMIFS(H$26:H$42,$A$26:$A$42,A49)</f>
        <v>143.21092198581562</v>
      </c>
    </row>
    <row r="50" spans="1:14" x14ac:dyDescent="0.3">
      <c r="A50" s="3" t="s">
        <v>497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42" customHeight="1" x14ac:dyDescent="0.3">
      <c r="A51" s="12" t="s">
        <v>498</v>
      </c>
      <c r="B51" s="12" t="s">
        <v>499</v>
      </c>
      <c r="C51" s="12" t="s">
        <v>500</v>
      </c>
      <c r="D51" s="12" t="s">
        <v>501</v>
      </c>
      <c r="E51" s="12" t="s">
        <v>502</v>
      </c>
      <c r="F51" s="12" t="s">
        <v>503</v>
      </c>
      <c r="G51" s="12" t="s">
        <v>504</v>
      </c>
      <c r="H51" s="12" t="s">
        <v>505</v>
      </c>
      <c r="I51" s="12" t="s">
        <v>506</v>
      </c>
      <c r="J51" s="12" t="s">
        <v>507</v>
      </c>
      <c r="K51" s="12" t="s">
        <v>508</v>
      </c>
      <c r="L51" s="12" t="s">
        <v>42</v>
      </c>
    </row>
    <row r="52" spans="1:14" ht="39.6" x14ac:dyDescent="0.3">
      <c r="A52" s="13" t="s">
        <v>509</v>
      </c>
      <c r="B52" s="47">
        <f>Irail_min</f>
        <v>5.2540000000000004</v>
      </c>
      <c r="C52" s="30">
        <f>B52*Vrail</f>
        <v>17.338200000000001</v>
      </c>
      <c r="D52" s="33">
        <f>Eta_lo</f>
        <v>0.7</v>
      </c>
      <c r="E52" s="30">
        <f>C52*(1/D52-1)</f>
        <v>7.430657142857144</v>
      </c>
      <c r="F52" s="47">
        <f>C52/(D52*Vbat_min)+Buck_Iq</f>
        <v>4.1501428571428578</v>
      </c>
      <c r="G52" s="47">
        <f>C52/(D52*Vbat_nom)+Buck_Iq</f>
        <v>3.3691428571428572</v>
      </c>
      <c r="H52" s="47">
        <f>C52/(D52*Vbat_max)+Buck_Iq</f>
        <v>2.970673469387755</v>
      </c>
      <c r="I52" s="47">
        <f>(F52/1000)^2*RdsQ1*1000</f>
        <v>1.0334211440816328E-3</v>
      </c>
      <c r="J52" s="30">
        <f>G52*Vbat_nom</f>
        <v>24.931657142857144</v>
      </c>
      <c r="K52" s="30">
        <f>IFERROR(Bat_mAh*Bat_use/G52,0)</f>
        <v>474.89823609226596</v>
      </c>
      <c r="L52" s="13" t="s">
        <v>510</v>
      </c>
    </row>
    <row r="53" spans="1:14" ht="52.8" x14ac:dyDescent="0.3">
      <c r="A53" s="13" t="s">
        <v>511</v>
      </c>
      <c r="B53" s="47">
        <f>Irail_typ</f>
        <v>45.613468928599296</v>
      </c>
      <c r="C53" s="30">
        <f>B53*Vrail</f>
        <v>150.52444746437766</v>
      </c>
      <c r="D53" s="33">
        <f>Eta_typ</f>
        <v>0.85</v>
      </c>
      <c r="E53" s="30">
        <f>C53*(1/D53-1)</f>
        <v>26.563137787831359</v>
      </c>
      <c r="F53" s="47">
        <f>C53/(D53*Vbat_min)+Buck_Iq</f>
        <v>29.536597542034837</v>
      </c>
      <c r="G53" s="47">
        <f>C53/(D53*Vbat_nom)+Buck_Iq</f>
        <v>23.952754763812028</v>
      </c>
      <c r="H53" s="47">
        <f>C53/(D53*Vbat_max)+Buck_Iq</f>
        <v>21.103855387167737</v>
      </c>
      <c r="I53" s="47">
        <f>(F53/1000)^2*RdsQ1*1000</f>
        <v>5.2344635661608303E-2</v>
      </c>
      <c r="J53" s="30">
        <f>G53*Vbat_nom</f>
        <v>177.25038525220901</v>
      </c>
      <c r="K53" s="30">
        <f>IFERROR(Bat_mAh*Bat_use/G53,0)</f>
        <v>66.798162289762601</v>
      </c>
      <c r="L53" s="13" t="s">
        <v>512</v>
      </c>
    </row>
    <row r="54" spans="1:14" ht="92.4" x14ac:dyDescent="0.3">
      <c r="A54" s="13" t="s">
        <v>513</v>
      </c>
      <c r="B54" s="47">
        <f>Irail_max</f>
        <v>171.53203309692674</v>
      </c>
      <c r="C54" s="30">
        <f>B54*Vrail</f>
        <v>566.05570921985816</v>
      </c>
      <c r="D54" s="33">
        <f>Eta_hi</f>
        <v>0.87</v>
      </c>
      <c r="E54" s="30">
        <f>C54*(1/D54-1)</f>
        <v>84.583037009863816</v>
      </c>
      <c r="F54" s="47">
        <f>C54/(D54*Vbat_min)+Buck_Iq</f>
        <v>108.46179103828702</v>
      </c>
      <c r="G54" s="47">
        <f>C54/(D54*Vbat_nom)+Buck_Iq</f>
        <v>87.946154895908379</v>
      </c>
      <c r="H54" s="47">
        <f>C54/(D54*Vbat_max)+Buck_Iq</f>
        <v>77.478993598776441</v>
      </c>
      <c r="I54" s="47">
        <f>(F54/1000)^2*RdsQ1*1000</f>
        <v>0.70583760691398223</v>
      </c>
      <c r="J54" s="30">
        <f>G54*Vbat_nom</f>
        <v>650.80154622972202</v>
      </c>
      <c r="K54" s="30">
        <f>IFERROR(Bat_mAh*Bat_use/G54,0)</f>
        <v>18.192950014628082</v>
      </c>
      <c r="L54" s="13" t="s">
        <v>514</v>
      </c>
    </row>
    <row r="55" spans="1:14" ht="118.8" x14ac:dyDescent="0.3">
      <c r="A55" s="13" t="s">
        <v>515</v>
      </c>
      <c r="B55" s="47">
        <f>Irail_pk</f>
        <v>376.23203309692673</v>
      </c>
      <c r="C55" s="30">
        <f>B55*Vrail</f>
        <v>1241.565709219858</v>
      </c>
      <c r="D55" s="33">
        <f>Eta_hi</f>
        <v>0.87</v>
      </c>
      <c r="E55" s="30">
        <f>C55*(1/D55-1)</f>
        <v>185.52131287193271</v>
      </c>
      <c r="F55" s="47">
        <f>C55/(D55*Vbat_min)+Buck_Iq</f>
        <v>237.86983701529849</v>
      </c>
      <c r="G55" s="47">
        <f>C55/(D55*Vbat_nom)+Buck_Iq</f>
        <v>192.87159757997171</v>
      </c>
      <c r="H55" s="47">
        <f>C55/(D55*Vbat_max)+Buck_Iq</f>
        <v>169.91331215378463</v>
      </c>
      <c r="I55" s="47">
        <f>(F55/1000)^2*RdsQ1*1000</f>
        <v>3.3949235617010798</v>
      </c>
      <c r="J55" s="30">
        <f>G55*Vbat_nom</f>
        <v>1427.2498220917907</v>
      </c>
      <c r="K55" s="30">
        <f>IFERROR(Bat_mAh*Bat_use/G55,0)</f>
        <v>8.2956745320501675</v>
      </c>
      <c r="L55" s="13" t="s">
        <v>516</v>
      </c>
    </row>
    <row r="57" spans="1:14" ht="42" customHeight="1" x14ac:dyDescent="0.3">
      <c r="A57" s="12" t="s">
        <v>517</v>
      </c>
      <c r="B57" s="12" t="s">
        <v>518</v>
      </c>
      <c r="C57" s="12" t="s">
        <v>519</v>
      </c>
      <c r="D57" s="12" t="s">
        <v>520</v>
      </c>
      <c r="E57" s="12" t="s">
        <v>41</v>
      </c>
    </row>
    <row r="58" spans="1:14" ht="26.4" x14ac:dyDescent="0.3">
      <c r="A58" s="13" t="s">
        <v>521</v>
      </c>
      <c r="B58" s="21">
        <f>Irail_pk</f>
        <v>376.23203309692673</v>
      </c>
      <c r="C58" s="21">
        <f>Buck_Rating</f>
        <v>2000</v>
      </c>
      <c r="D58" s="33">
        <f>1-B58/C58</f>
        <v>0.81188398345153667</v>
      </c>
      <c r="E58" s="13" t="str">
        <f>IF(D58&gt;=0.5,"OK",IF(D58&gt;=0.2,"MARGINAL","OVER"))</f>
        <v>OK</v>
      </c>
    </row>
    <row r="59" spans="1:14" x14ac:dyDescent="0.3">
      <c r="A59" s="13" t="s">
        <v>522</v>
      </c>
      <c r="B59" s="21">
        <f>Ibat_pk_min</f>
        <v>237.86983701529849</v>
      </c>
      <c r="C59" s="21">
        <f>RatingQ1</f>
        <v>4000</v>
      </c>
      <c r="D59" s="33">
        <f>1-B59/C59</f>
        <v>0.94053254074617543</v>
      </c>
      <c r="E59" s="13" t="str">
        <f>IF(D59&gt;=0.5,"OK",IF(D59&gt;=0.2,"MARGINAL","OVER"))</f>
        <v>OK</v>
      </c>
    </row>
    <row r="60" spans="1:14" ht="26.4" x14ac:dyDescent="0.3">
      <c r="A60" s="13" t="s">
        <v>523</v>
      </c>
      <c r="B60" s="21">
        <f>INDEX($G$26:$G$42,MATCH("AE1",PWR_Ref,0))</f>
        <v>20</v>
      </c>
      <c r="C60" s="21">
        <v>50</v>
      </c>
      <c r="D60" s="33">
        <f>1-B60/C60</f>
        <v>0.6</v>
      </c>
      <c r="E60" s="13" t="str">
        <f>IF(D60&gt;=0.2,"OK","OVER")</f>
        <v>OK</v>
      </c>
    </row>
  </sheetData>
  <conditionalFormatting sqref="E58:E60">
    <cfRule type="expression" dxfId="56" priority="2">
      <formula>OR(LEFT(E58,8)="CONFLICT",LEFT(E58,7)="EXCEEDS",LEFT(E58,4)="OVER",LEFT(E58,5)="LIMIT",LEFT(E58,7)="INVALID",LEFT(E58,9)="VIOLATION",LEFT(E58,8)="BAUD ERR",LEFT(E58,4)="HIGH",LEFT(E58,5)="BELOW",LEFT(E58,4)="FAIL",LEFT(E58,7)="TOO BIG")</formula>
    </cfRule>
    <cfRule type="expression" dxfId="55" priority="3">
      <formula>OR(LEFT(E58,8)="MARGINAL",LEFT(E58,3)="MED",LEFT(E58,5)="CHECK",LEFT(E58,3)="TL:")</formula>
    </cfRule>
    <cfRule type="expression" dxfId="54" priority="4">
      <formula>LEFT(E58,2)="OK"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  <pageSetUpPr fitToPage="1"/>
  </sheetPr>
  <dimension ref="A1:L41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2" width="26" customWidth="1"/>
    <col min="3" max="3" width="30" customWidth="1"/>
    <col min="4" max="4" width="10" customWidth="1"/>
    <col min="5" max="5" width="9" customWidth="1"/>
    <col min="6" max="6" width="10" customWidth="1"/>
    <col min="7" max="7" width="8" customWidth="1"/>
    <col min="8" max="8" width="9" customWidth="1"/>
    <col min="9" max="9" width="10" customWidth="1"/>
    <col min="10" max="10" width="20" customWidth="1"/>
    <col min="11" max="11" width="60" customWidth="1"/>
  </cols>
  <sheetData>
    <row r="1" spans="1:12" ht="17.399999999999999" x14ac:dyDescent="0.3">
      <c r="A1" s="1" t="s">
        <v>524</v>
      </c>
    </row>
    <row r="2" spans="1:12" x14ac:dyDescent="0.3">
      <c r="A2" s="2" t="s">
        <v>525</v>
      </c>
    </row>
    <row r="3" spans="1:12" x14ac:dyDescent="0.3">
      <c r="A3" s="2" t="s">
        <v>2</v>
      </c>
    </row>
    <row r="5" spans="1:12" x14ac:dyDescent="0.3">
      <c r="A5" s="3" t="s">
        <v>526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5" t="s">
        <v>527</v>
      </c>
      <c r="D6" s="54">
        <v>5</v>
      </c>
      <c r="E6" s="7"/>
      <c r="F6" s="2" t="s">
        <v>528</v>
      </c>
    </row>
    <row r="7" spans="1:12" x14ac:dyDescent="0.3">
      <c r="A7" s="5" t="s">
        <v>529</v>
      </c>
      <c r="D7" s="6">
        <v>1000</v>
      </c>
      <c r="E7" s="7" t="s">
        <v>5</v>
      </c>
      <c r="F7" s="2" t="s">
        <v>530</v>
      </c>
    </row>
    <row r="8" spans="1:12" x14ac:dyDescent="0.3">
      <c r="A8" s="5" t="s">
        <v>531</v>
      </c>
      <c r="D8" s="6">
        <v>200</v>
      </c>
      <c r="E8" s="7" t="s">
        <v>532</v>
      </c>
      <c r="F8" s="2" t="s">
        <v>533</v>
      </c>
    </row>
    <row r="10" spans="1:12" x14ac:dyDescent="0.3">
      <c r="A10" s="3" t="s">
        <v>534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42" customHeight="1" x14ac:dyDescent="0.3">
      <c r="A11" s="12" t="s">
        <v>25</v>
      </c>
      <c r="B11" s="12" t="s">
        <v>535</v>
      </c>
      <c r="C11" s="12" t="s">
        <v>536</v>
      </c>
      <c r="D11" s="12" t="s">
        <v>537</v>
      </c>
      <c r="E11" s="12" t="s">
        <v>538</v>
      </c>
      <c r="F11" s="12" t="s">
        <v>539</v>
      </c>
      <c r="G11" s="12" t="s">
        <v>540</v>
      </c>
      <c r="H11" s="12" t="s">
        <v>70</v>
      </c>
      <c r="I11" s="12" t="s">
        <v>541</v>
      </c>
      <c r="J11" s="12" t="s">
        <v>542</v>
      </c>
      <c r="K11" s="12" t="s">
        <v>42</v>
      </c>
    </row>
    <row r="12" spans="1:12" x14ac:dyDescent="0.3">
      <c r="A12" s="13" t="s">
        <v>43</v>
      </c>
      <c r="B12" s="13" t="s">
        <v>543</v>
      </c>
      <c r="C12" s="13" t="s">
        <v>544</v>
      </c>
      <c r="D12" s="27">
        <f>LoopHz</f>
        <v>1000</v>
      </c>
      <c r="E12" s="20">
        <v>150</v>
      </c>
      <c r="F12" s="27">
        <f t="shared" ref="F12:F35" si="0">D12*E12/INDEX(CLK_SYS,MATCH(A12,CLK_Board,0))</f>
        <v>9375</v>
      </c>
      <c r="G12" s="33">
        <f t="shared" ref="G12:G35" si="1">F12/1000000</f>
        <v>9.3749999999999997E-3</v>
      </c>
      <c r="H12" s="16">
        <v>6</v>
      </c>
      <c r="I12" s="19" t="s">
        <v>183</v>
      </c>
      <c r="J12" s="13" t="str">
        <f t="shared" ref="J12:J35" si="2">IF(A12="B1",IF(I12="Y",IF(H12&gt;=RtosMaxSys,"OK","VIOLATION: must be ≥ "&amp;RtosMaxSys),"OK"),IF(H12&lt;=3,"OK","INVALID: M0+ has priorities 0–3"))</f>
        <v>OK</v>
      </c>
      <c r="K12" s="13"/>
    </row>
    <row r="13" spans="1:12" x14ac:dyDescent="0.3">
      <c r="A13" s="13" t="s">
        <v>43</v>
      </c>
      <c r="B13" s="13" t="s">
        <v>545</v>
      </c>
      <c r="C13" s="13" t="s">
        <v>546</v>
      </c>
      <c r="D13" s="27">
        <f>INDEX(IDR_Rate,MATCH("T01",IDR_ID,0))</f>
        <v>1000</v>
      </c>
      <c r="E13" s="20">
        <v>250</v>
      </c>
      <c r="F13" s="27">
        <f t="shared" si="0"/>
        <v>15625</v>
      </c>
      <c r="G13" s="33">
        <f t="shared" si="1"/>
        <v>1.5625E-2</v>
      </c>
      <c r="H13" s="16">
        <v>5</v>
      </c>
      <c r="I13" s="19" t="s">
        <v>183</v>
      </c>
      <c r="J13" s="13" t="str">
        <f t="shared" si="2"/>
        <v>OK</v>
      </c>
      <c r="K13" s="13"/>
    </row>
    <row r="14" spans="1:12" x14ac:dyDescent="0.3">
      <c r="A14" s="13" t="s">
        <v>43</v>
      </c>
      <c r="B14" s="13" t="s">
        <v>547</v>
      </c>
      <c r="C14" s="13" t="s">
        <v>548</v>
      </c>
      <c r="D14" s="27">
        <f>INDEX(IDR_Rate,MATCH("T01",IDR_ID,0))</f>
        <v>1000</v>
      </c>
      <c r="E14" s="20">
        <v>120</v>
      </c>
      <c r="F14" s="27">
        <f t="shared" si="0"/>
        <v>7500</v>
      </c>
      <c r="G14" s="33">
        <f t="shared" si="1"/>
        <v>7.4999999999999997E-3</v>
      </c>
      <c r="H14" s="16">
        <v>6</v>
      </c>
      <c r="I14" s="19" t="s">
        <v>183</v>
      </c>
      <c r="J14" s="13" t="str">
        <f t="shared" si="2"/>
        <v>OK</v>
      </c>
      <c r="K14" s="13" t="s">
        <v>549</v>
      </c>
    </row>
    <row r="15" spans="1:12" x14ac:dyDescent="0.3">
      <c r="A15" s="13" t="s">
        <v>43</v>
      </c>
      <c r="B15" s="13" t="s">
        <v>550</v>
      </c>
      <c r="C15" s="13" t="s">
        <v>551</v>
      </c>
      <c r="D15" s="27">
        <f>INDEX(IDR_Rate,MATCH("T02",IDR_ID,0))</f>
        <v>1000</v>
      </c>
      <c r="E15" s="20">
        <v>250</v>
      </c>
      <c r="F15" s="27">
        <f t="shared" si="0"/>
        <v>15625</v>
      </c>
      <c r="G15" s="33">
        <f t="shared" si="1"/>
        <v>1.5625E-2</v>
      </c>
      <c r="H15" s="16">
        <v>5</v>
      </c>
      <c r="I15" s="19" t="s">
        <v>183</v>
      </c>
      <c r="J15" s="13" t="str">
        <f t="shared" si="2"/>
        <v>OK</v>
      </c>
      <c r="K15" s="13"/>
    </row>
    <row r="16" spans="1:12" ht="26.4" x14ac:dyDescent="0.3">
      <c r="A16" s="13" t="s">
        <v>43</v>
      </c>
      <c r="B16" s="13" t="s">
        <v>552</v>
      </c>
      <c r="C16" s="13" t="s">
        <v>553</v>
      </c>
      <c r="D16" s="27">
        <f>4*(INDEX(IDR_Rate,MATCH("T02",IDR_ID,0))+INDEX(IDR_Rate,MATCH("T03",IDR_ID,0)))</f>
        <v>4004</v>
      </c>
      <c r="E16" s="20">
        <v>150</v>
      </c>
      <c r="F16" s="27">
        <f t="shared" si="0"/>
        <v>37537.5</v>
      </c>
      <c r="G16" s="33">
        <f t="shared" si="1"/>
        <v>3.7537500000000001E-2</v>
      </c>
      <c r="H16" s="16">
        <v>5</v>
      </c>
      <c r="I16" s="19" t="s">
        <v>396</v>
      </c>
      <c r="J16" s="13" t="str">
        <f t="shared" si="2"/>
        <v>OK</v>
      </c>
      <c r="K16" s="13"/>
    </row>
    <row r="17" spans="1:11" ht="26.4" x14ac:dyDescent="0.3">
      <c r="A17" s="13" t="s">
        <v>43</v>
      </c>
      <c r="B17" s="13" t="s">
        <v>554</v>
      </c>
      <c r="C17" s="13" t="s">
        <v>555</v>
      </c>
      <c r="D17" s="27">
        <f>MagHz</f>
        <v>1000</v>
      </c>
      <c r="E17" s="20">
        <v>120</v>
      </c>
      <c r="F17" s="27">
        <f t="shared" si="0"/>
        <v>7500</v>
      </c>
      <c r="G17" s="33">
        <f t="shared" si="1"/>
        <v>7.4999999999999997E-3</v>
      </c>
      <c r="H17" s="16">
        <v>6</v>
      </c>
      <c r="I17" s="19" t="s">
        <v>183</v>
      </c>
      <c r="J17" s="13" t="str">
        <f t="shared" si="2"/>
        <v>OK</v>
      </c>
      <c r="K17" s="13"/>
    </row>
    <row r="18" spans="1:11" x14ac:dyDescent="0.3">
      <c r="A18" s="13" t="s">
        <v>43</v>
      </c>
      <c r="B18" s="13" t="s">
        <v>556</v>
      </c>
      <c r="C18" s="13" t="s">
        <v>557</v>
      </c>
      <c r="D18" s="27">
        <f>INDEX(IDR_Rate,MATCH("T04",IDR_ID,0))</f>
        <v>1000</v>
      </c>
      <c r="E18" s="20">
        <v>250</v>
      </c>
      <c r="F18" s="27">
        <f t="shared" si="0"/>
        <v>15625</v>
      </c>
      <c r="G18" s="33">
        <f t="shared" si="1"/>
        <v>1.5625E-2</v>
      </c>
      <c r="H18" s="16">
        <v>5</v>
      </c>
      <c r="I18" s="19" t="s">
        <v>183</v>
      </c>
      <c r="J18" s="13" t="str">
        <f t="shared" si="2"/>
        <v>OK</v>
      </c>
      <c r="K18" s="13"/>
    </row>
    <row r="19" spans="1:11" x14ac:dyDescent="0.3">
      <c r="A19" s="13" t="s">
        <v>43</v>
      </c>
      <c r="B19" s="13" t="s">
        <v>558</v>
      </c>
      <c r="C19" s="13" t="s">
        <v>559</v>
      </c>
      <c r="D19" s="27">
        <f>INDEX(IDR_Rate,MATCH("T04",IDR_ID,0))</f>
        <v>1000</v>
      </c>
      <c r="E19" s="20">
        <v>120</v>
      </c>
      <c r="F19" s="27">
        <f t="shared" si="0"/>
        <v>7500</v>
      </c>
      <c r="G19" s="33">
        <f t="shared" si="1"/>
        <v>7.4999999999999997E-3</v>
      </c>
      <c r="H19" s="16">
        <v>6</v>
      </c>
      <c r="I19" s="19" t="s">
        <v>183</v>
      </c>
      <c r="J19" s="13" t="str">
        <f t="shared" si="2"/>
        <v>OK</v>
      </c>
      <c r="K19" s="13"/>
    </row>
    <row r="20" spans="1:11" ht="26.4" x14ac:dyDescent="0.3">
      <c r="A20" s="13" t="s">
        <v>43</v>
      </c>
      <c r="B20" s="13" t="s">
        <v>560</v>
      </c>
      <c r="C20" s="13" t="s">
        <v>561</v>
      </c>
      <c r="D20" s="27">
        <f>INDEX(IDR_Rate,MATCH("T08",IDR_ID,0))+INDEX(IDR_Rate,MATCH("T09",IDR_ID,0))+INDEX(IDR_Rate,MATCH("T10",IDR_ID,0))</f>
        <v>2010</v>
      </c>
      <c r="E20" s="20">
        <v>200</v>
      </c>
      <c r="F20" s="27">
        <f t="shared" si="0"/>
        <v>25125</v>
      </c>
      <c r="G20" s="33">
        <f t="shared" si="1"/>
        <v>2.5125000000000001E-2</v>
      </c>
      <c r="H20" s="16">
        <v>5</v>
      </c>
      <c r="I20" s="19" t="s">
        <v>183</v>
      </c>
      <c r="J20" s="13" t="str">
        <f t="shared" si="2"/>
        <v>OK</v>
      </c>
      <c r="K20" s="13" t="s">
        <v>562</v>
      </c>
    </row>
    <row r="21" spans="1:11" ht="26.4" x14ac:dyDescent="0.3">
      <c r="A21" s="13" t="s">
        <v>43</v>
      </c>
      <c r="B21" s="13" t="s">
        <v>563</v>
      </c>
      <c r="C21" s="13" t="s">
        <v>564</v>
      </c>
      <c r="D21" s="27">
        <f>INDEX(IDR_Rate,MATCH("T08",IDR_ID,0))+INDEX(IDR_Rate,MATCH("T09",IDR_ID,0))+INDEX(IDR_Rate,MATCH("T10",IDR_ID,0))</f>
        <v>2010</v>
      </c>
      <c r="E21" s="20">
        <v>200</v>
      </c>
      <c r="F21" s="27">
        <f t="shared" si="0"/>
        <v>25125</v>
      </c>
      <c r="G21" s="33">
        <f t="shared" si="1"/>
        <v>2.5125000000000001E-2</v>
      </c>
      <c r="H21" s="16">
        <v>5</v>
      </c>
      <c r="I21" s="19" t="s">
        <v>183</v>
      </c>
      <c r="J21" s="13" t="str">
        <f t="shared" si="2"/>
        <v>OK</v>
      </c>
      <c r="K21" s="13"/>
    </row>
    <row r="22" spans="1:11" ht="26.4" x14ac:dyDescent="0.3">
      <c r="A22" s="13" t="s">
        <v>43</v>
      </c>
      <c r="B22" s="13" t="s">
        <v>565</v>
      </c>
      <c r="C22" s="13" t="s">
        <v>566</v>
      </c>
      <c r="D22" s="27">
        <f>INDEX(IDR_Rate,MATCH("T06",IDR_ID,0))+INDEX(IDR_Rate,MATCH("T07",IDR_ID,0))</f>
        <v>2000</v>
      </c>
      <c r="E22" s="20">
        <v>200</v>
      </c>
      <c r="F22" s="27">
        <f t="shared" si="0"/>
        <v>25000</v>
      </c>
      <c r="G22" s="33">
        <f t="shared" si="1"/>
        <v>2.5000000000000001E-2</v>
      </c>
      <c r="H22" s="16">
        <v>6</v>
      </c>
      <c r="I22" s="19" t="s">
        <v>183</v>
      </c>
      <c r="J22" s="13" t="str">
        <f t="shared" si="2"/>
        <v>OK</v>
      </c>
      <c r="K22" s="13"/>
    </row>
    <row r="23" spans="1:11" ht="26.4" x14ac:dyDescent="0.3">
      <c r="A23" s="13" t="s">
        <v>43</v>
      </c>
      <c r="B23" s="13" t="s">
        <v>567</v>
      </c>
      <c r="C23" s="13" t="s">
        <v>568</v>
      </c>
      <c r="D23" s="27">
        <f>3*INDEX(IDR_Rate,MATCH("T13",IDR_ID,0))</f>
        <v>309.09375</v>
      </c>
      <c r="E23" s="20">
        <v>300</v>
      </c>
      <c r="F23" s="27">
        <f t="shared" si="0"/>
        <v>5795.5078125</v>
      </c>
      <c r="G23" s="33">
        <f t="shared" si="1"/>
        <v>5.7955078124999997E-3</v>
      </c>
      <c r="H23" s="16">
        <v>7</v>
      </c>
      <c r="I23" s="19" t="s">
        <v>183</v>
      </c>
      <c r="J23" s="13" t="str">
        <f t="shared" si="2"/>
        <v>OK</v>
      </c>
      <c r="K23" s="13"/>
    </row>
    <row r="24" spans="1:11" x14ac:dyDescent="0.3">
      <c r="A24" s="13" t="s">
        <v>43</v>
      </c>
      <c r="B24" s="13" t="s">
        <v>569</v>
      </c>
      <c r="C24" s="13" t="s">
        <v>570</v>
      </c>
      <c r="D24" s="21">
        <f>RtosTick</f>
        <v>1000</v>
      </c>
      <c r="E24" s="20">
        <v>200</v>
      </c>
      <c r="F24" s="27">
        <f t="shared" si="0"/>
        <v>12500</v>
      </c>
      <c r="G24" s="33">
        <f t="shared" si="1"/>
        <v>1.2500000000000001E-2</v>
      </c>
      <c r="H24" s="16">
        <v>15</v>
      </c>
      <c r="I24" s="19" t="s">
        <v>183</v>
      </c>
      <c r="J24" s="13" t="str">
        <f t="shared" si="2"/>
        <v>OK</v>
      </c>
      <c r="K24" s="13"/>
    </row>
    <row r="25" spans="1:11" x14ac:dyDescent="0.3">
      <c r="A25" s="13" t="s">
        <v>43</v>
      </c>
      <c r="B25" s="13" t="s">
        <v>571</v>
      </c>
      <c r="C25" s="13" t="s">
        <v>572</v>
      </c>
      <c r="D25" s="27">
        <f>2*LoopHz</f>
        <v>2000</v>
      </c>
      <c r="E25" s="21">
        <f>CtxCyc</f>
        <v>200</v>
      </c>
      <c r="F25" s="27">
        <f t="shared" si="0"/>
        <v>25000</v>
      </c>
      <c r="G25" s="33">
        <f t="shared" si="1"/>
        <v>2.5000000000000001E-2</v>
      </c>
      <c r="H25" s="16">
        <v>15</v>
      </c>
      <c r="I25" s="19" t="s">
        <v>183</v>
      </c>
      <c r="J25" s="13" t="str">
        <f t="shared" si="2"/>
        <v>OK</v>
      </c>
      <c r="K25" s="13"/>
    </row>
    <row r="26" spans="1:11" x14ac:dyDescent="0.3">
      <c r="A26" s="13" t="s">
        <v>47</v>
      </c>
      <c r="B26" s="13" t="s">
        <v>573</v>
      </c>
      <c r="C26" s="13" t="s">
        <v>574</v>
      </c>
      <c r="D26" s="27">
        <f>INDEX(IDR_Rate,MATCH("T05",IDR_ID,0))</f>
        <v>1000</v>
      </c>
      <c r="E26" s="20">
        <v>60</v>
      </c>
      <c r="F26" s="27">
        <f t="shared" si="0"/>
        <v>3750</v>
      </c>
      <c r="G26" s="33">
        <f t="shared" si="1"/>
        <v>3.7499999999999999E-3</v>
      </c>
      <c r="H26" s="16">
        <v>1</v>
      </c>
      <c r="I26" s="19" t="s">
        <v>575</v>
      </c>
      <c r="J26" s="13" t="str">
        <f t="shared" si="2"/>
        <v>OK</v>
      </c>
      <c r="K26" s="13"/>
    </row>
    <row r="27" spans="1:11" x14ac:dyDescent="0.3">
      <c r="A27" s="13" t="s">
        <v>47</v>
      </c>
      <c r="B27" s="13" t="s">
        <v>576</v>
      </c>
      <c r="C27" s="13" t="s">
        <v>577</v>
      </c>
      <c r="D27" s="27">
        <f>INDEX(IDR_Rate,MATCH("T05",IDR_ID,0))</f>
        <v>1000</v>
      </c>
      <c r="E27" s="20">
        <v>80</v>
      </c>
      <c r="F27" s="27">
        <f t="shared" si="0"/>
        <v>5000</v>
      </c>
      <c r="G27" s="33">
        <f t="shared" si="1"/>
        <v>5.0000000000000001E-3</v>
      </c>
      <c r="H27" s="16">
        <v>1</v>
      </c>
      <c r="I27" s="19" t="s">
        <v>575</v>
      </c>
      <c r="J27" s="13" t="str">
        <f t="shared" si="2"/>
        <v>OK</v>
      </c>
      <c r="K27" s="13"/>
    </row>
    <row r="28" spans="1:11" x14ac:dyDescent="0.3">
      <c r="A28" s="13" t="s">
        <v>47</v>
      </c>
      <c r="B28" s="13" t="s">
        <v>578</v>
      </c>
      <c r="C28" s="13" t="s">
        <v>579</v>
      </c>
      <c r="D28" s="27">
        <f>INDEX(IDR_Rate,MATCH("T04",IDR_ID,0))</f>
        <v>1000</v>
      </c>
      <c r="E28" s="20">
        <v>80</v>
      </c>
      <c r="F28" s="27">
        <f t="shared" si="0"/>
        <v>5000</v>
      </c>
      <c r="G28" s="33">
        <f t="shared" si="1"/>
        <v>5.0000000000000001E-3</v>
      </c>
      <c r="H28" s="16">
        <v>0</v>
      </c>
      <c r="I28" s="19" t="s">
        <v>575</v>
      </c>
      <c r="J28" s="13" t="str">
        <f t="shared" si="2"/>
        <v>OK</v>
      </c>
      <c r="K28" s="13" t="s">
        <v>580</v>
      </c>
    </row>
    <row r="29" spans="1:11" ht="26.4" x14ac:dyDescent="0.3">
      <c r="A29" s="13" t="s">
        <v>47</v>
      </c>
      <c r="B29" s="13" t="s">
        <v>581</v>
      </c>
      <c r="C29" s="13" t="s">
        <v>582</v>
      </c>
      <c r="D29" s="27">
        <f>INDEX(IDR_Rate,MATCH("T06",IDR_ID,0))+INDEX(IDR_Rate,MATCH("T07",IDR_ID,0))</f>
        <v>2000</v>
      </c>
      <c r="E29" s="20">
        <v>100</v>
      </c>
      <c r="F29" s="27">
        <f t="shared" si="0"/>
        <v>12500</v>
      </c>
      <c r="G29" s="33">
        <f t="shared" si="1"/>
        <v>1.2500000000000001E-2</v>
      </c>
      <c r="H29" s="16">
        <v>2</v>
      </c>
      <c r="I29" s="19" t="s">
        <v>575</v>
      </c>
      <c r="J29" s="13" t="str">
        <f t="shared" si="2"/>
        <v>OK</v>
      </c>
      <c r="K29" s="13"/>
    </row>
    <row r="30" spans="1:11" x14ac:dyDescent="0.3">
      <c r="A30" s="13" t="s">
        <v>47</v>
      </c>
      <c r="B30" s="13" t="s">
        <v>569</v>
      </c>
      <c r="C30" s="13" t="s">
        <v>583</v>
      </c>
      <c r="D30" s="21">
        <v>1000</v>
      </c>
      <c r="E30" s="20">
        <v>50</v>
      </c>
      <c r="F30" s="27">
        <f t="shared" si="0"/>
        <v>3125</v>
      </c>
      <c r="G30" s="33">
        <f t="shared" si="1"/>
        <v>3.1250000000000002E-3</v>
      </c>
      <c r="H30" s="16">
        <v>3</v>
      </c>
      <c r="I30" s="19" t="s">
        <v>575</v>
      </c>
      <c r="J30" s="13" t="str">
        <f t="shared" si="2"/>
        <v>OK</v>
      </c>
      <c r="K30" s="13"/>
    </row>
    <row r="31" spans="1:11" x14ac:dyDescent="0.3">
      <c r="A31" s="13" t="s">
        <v>50</v>
      </c>
      <c r="B31" s="13" t="s">
        <v>560</v>
      </c>
      <c r="C31" s="13" t="s">
        <v>584</v>
      </c>
      <c r="D31" s="27">
        <f>INDEX(IDR_Rate,MATCH("T08",IDR_ID,0))+INDEX(IDR_Rate,MATCH("T09",IDR_ID,0))+INDEX(IDR_Rate,MATCH("T10",IDR_ID,0))</f>
        <v>2010</v>
      </c>
      <c r="E31" s="20">
        <v>100</v>
      </c>
      <c r="F31" s="27">
        <f t="shared" si="0"/>
        <v>12562.5</v>
      </c>
      <c r="G31" s="33">
        <f t="shared" si="1"/>
        <v>1.2562500000000001E-2</v>
      </c>
      <c r="H31" s="16">
        <v>0</v>
      </c>
      <c r="I31" s="19" t="s">
        <v>575</v>
      </c>
      <c r="J31" s="13" t="str">
        <f t="shared" si="2"/>
        <v>OK</v>
      </c>
      <c r="K31" s="13"/>
    </row>
    <row r="32" spans="1:11" x14ac:dyDescent="0.3">
      <c r="A32" s="13" t="s">
        <v>50</v>
      </c>
      <c r="B32" s="13" t="s">
        <v>585</v>
      </c>
      <c r="C32" s="13" t="s">
        <v>586</v>
      </c>
      <c r="D32" s="27">
        <f>INDEX(IDR_Rate,MATCH("T08",IDR_ID,0))+INDEX(IDR_Rate,MATCH("T09",IDR_ID,0))+INDEX(IDR_Rate,MATCH("T10",IDR_ID,0))+INDEX(IDR_Rate,MATCH("T11",IDR_ID,0))+INDEX(IDR_Rate,MATCH("T12",IDR_ID,0))</f>
        <v>2060</v>
      </c>
      <c r="E32" s="20">
        <v>80</v>
      </c>
      <c r="F32" s="27">
        <f t="shared" si="0"/>
        <v>10300</v>
      </c>
      <c r="G32" s="33">
        <f t="shared" si="1"/>
        <v>1.03E-2</v>
      </c>
      <c r="H32" s="16">
        <v>1</v>
      </c>
      <c r="I32" s="19" t="s">
        <v>575</v>
      </c>
      <c r="J32" s="13" t="str">
        <f t="shared" si="2"/>
        <v>OK</v>
      </c>
      <c r="K32" s="13"/>
    </row>
    <row r="33" spans="1:12" x14ac:dyDescent="0.3">
      <c r="A33" s="13" t="s">
        <v>50</v>
      </c>
      <c r="B33" s="13" t="s">
        <v>587</v>
      </c>
      <c r="C33" s="13" t="s">
        <v>588</v>
      </c>
      <c r="D33" s="27">
        <f>4*(INDEX(IDR_Rate,MATCH("T11",IDR_ID,0))+INDEX(IDR_Rate,MATCH("T12",IDR_ID,0)))</f>
        <v>200</v>
      </c>
      <c r="E33" s="20">
        <v>100</v>
      </c>
      <c r="F33" s="27">
        <f t="shared" si="0"/>
        <v>1250</v>
      </c>
      <c r="G33" s="33">
        <f t="shared" si="1"/>
        <v>1.25E-3</v>
      </c>
      <c r="H33" s="16">
        <v>2</v>
      </c>
      <c r="I33" s="19" t="s">
        <v>575</v>
      </c>
      <c r="J33" s="13" t="str">
        <f t="shared" si="2"/>
        <v>OK</v>
      </c>
      <c r="K33" s="13"/>
    </row>
    <row r="34" spans="1:12" ht="26.4" x14ac:dyDescent="0.3">
      <c r="A34" s="13" t="s">
        <v>50</v>
      </c>
      <c r="B34" s="13" t="s">
        <v>589</v>
      </c>
      <c r="C34" s="13" t="s">
        <v>590</v>
      </c>
      <c r="D34" s="27">
        <f>1+INDEX(TIM_Upd,MATCH("TIM3",TIM_Name,0))</f>
        <v>16.2587890625</v>
      </c>
      <c r="E34" s="20">
        <v>60</v>
      </c>
      <c r="F34" s="27">
        <f t="shared" si="0"/>
        <v>60.970458984375</v>
      </c>
      <c r="G34" s="33">
        <f t="shared" si="1"/>
        <v>6.0970458984375003E-5</v>
      </c>
      <c r="H34" s="16">
        <v>1</v>
      </c>
      <c r="I34" s="19" t="s">
        <v>575</v>
      </c>
      <c r="J34" s="13" t="str">
        <f t="shared" si="2"/>
        <v>OK</v>
      </c>
      <c r="K34" s="13"/>
    </row>
    <row r="35" spans="1:12" x14ac:dyDescent="0.3">
      <c r="A35" s="13" t="s">
        <v>50</v>
      </c>
      <c r="B35" s="13" t="s">
        <v>569</v>
      </c>
      <c r="C35" s="13" t="s">
        <v>583</v>
      </c>
      <c r="D35" s="21">
        <v>1000</v>
      </c>
      <c r="E35" s="20">
        <v>50</v>
      </c>
      <c r="F35" s="27">
        <f t="shared" si="0"/>
        <v>3125</v>
      </c>
      <c r="G35" s="33">
        <f t="shared" si="1"/>
        <v>3.1250000000000002E-3</v>
      </c>
      <c r="H35" s="16">
        <v>3</v>
      </c>
      <c r="I35" s="19" t="s">
        <v>575</v>
      </c>
      <c r="J35" s="13" t="str">
        <f t="shared" si="2"/>
        <v>OK</v>
      </c>
      <c r="K35" s="13"/>
    </row>
    <row r="37" spans="1:12" x14ac:dyDescent="0.3">
      <c r="A37" s="3" t="s">
        <v>591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42" customHeight="1" x14ac:dyDescent="0.3">
      <c r="A38" s="12" t="s">
        <v>25</v>
      </c>
      <c r="B38" s="12" t="s">
        <v>29</v>
      </c>
      <c r="C38" s="12" t="s">
        <v>592</v>
      </c>
      <c r="D38" s="12" t="s">
        <v>593</v>
      </c>
      <c r="E38" s="12" t="s">
        <v>594</v>
      </c>
      <c r="F38" s="12" t="s">
        <v>327</v>
      </c>
      <c r="G38" s="12" t="s">
        <v>41</v>
      </c>
      <c r="H38" s="12" t="s">
        <v>595</v>
      </c>
      <c r="I38" s="12" t="s">
        <v>329</v>
      </c>
      <c r="J38" s="12" t="s">
        <v>42</v>
      </c>
    </row>
    <row r="39" spans="1:12" ht="92.4" x14ac:dyDescent="0.3">
      <c r="A39" s="13" t="s">
        <v>43</v>
      </c>
      <c r="B39" s="29">
        <f>INDEX(CLK_SYS,MATCH(A39,CLK_Board,0))</f>
        <v>16</v>
      </c>
      <c r="C39" s="21">
        <f>SUMIFS(ISR_us,ISR_Board,A39)</f>
        <v>234833.0078125</v>
      </c>
      <c r="D39" s="27">
        <f>SUMIFS(TL_AvgCPU,TL_Board,A39)*LoopHz</f>
        <v>976466.015625</v>
      </c>
      <c r="E39" s="33">
        <f>(C39+D39)/1000000</f>
        <v>1.2112990234375001</v>
      </c>
      <c r="F39" s="36">
        <f>MaxCpuUtil</f>
        <v>0.7</v>
      </c>
      <c r="G39" s="13" t="str">
        <f>IF(E39&lt;=F39,"OK","OVER")</f>
        <v>OVER</v>
      </c>
      <c r="H39" s="27">
        <f>IFERROR(LoopHz*F39/E39,0)</f>
        <v>577.89198740827533</v>
      </c>
      <c r="I39" s="30">
        <f>B39*E39/F39</f>
        <v>27.686834821428576</v>
      </c>
      <c r="J39" s="13" t="s">
        <v>596</v>
      </c>
    </row>
    <row r="40" spans="1:12" x14ac:dyDescent="0.3">
      <c r="A40" s="13" t="s">
        <v>47</v>
      </c>
      <c r="B40" s="29">
        <f>INDEX(CLK_SYS,MATCH(A40,CLK_Board,0))</f>
        <v>16</v>
      </c>
      <c r="C40" s="21">
        <f>SUMIFS(ISR_us,ISR_Board,A40)</f>
        <v>29375</v>
      </c>
      <c r="D40" s="27">
        <f>SUMIFS(TL_AvgCPU,TL_Board,A40)*LoopHz</f>
        <v>168750</v>
      </c>
      <c r="E40" s="33">
        <f>(C40+D40)/1000000</f>
        <v>0.198125</v>
      </c>
      <c r="F40" s="36">
        <f>MaxCpuUtil</f>
        <v>0.7</v>
      </c>
      <c r="G40" s="13" t="str">
        <f>IF(E40&lt;=F40,"OK","OVER")</f>
        <v>OK</v>
      </c>
      <c r="H40" s="27">
        <f>IFERROR(LoopHz*F40/E40,0)</f>
        <v>3533.1230283911673</v>
      </c>
      <c r="I40" s="30">
        <f>B40*E40/F40</f>
        <v>4.5285714285714285</v>
      </c>
      <c r="J40" s="13"/>
    </row>
    <row r="41" spans="1:12" x14ac:dyDescent="0.3">
      <c r="A41" s="13" t="s">
        <v>50</v>
      </c>
      <c r="B41" s="29">
        <f>INDEX(CLK_SYS,MATCH(A41,CLK_Board,0))</f>
        <v>16</v>
      </c>
      <c r="C41" s="21">
        <f>SUMIFS(ISR_us,ISR_Board,A41)</f>
        <v>27298.470458984375</v>
      </c>
      <c r="D41" s="27">
        <f>SUMIFS(TL_AvgCPU,TL_Board,A41)*LoopHz</f>
        <v>72937.5</v>
      </c>
      <c r="E41" s="33">
        <f>(C41+D41)/1000000</f>
        <v>0.10023597045898437</v>
      </c>
      <c r="F41" s="36">
        <f>MaxCpuUtil</f>
        <v>0.7</v>
      </c>
      <c r="G41" s="13" t="str">
        <f>IF(E41&lt;=F41,"OK","OVER")</f>
        <v>OK</v>
      </c>
      <c r="H41" s="27">
        <f>IFERROR(LoopHz*F41/E41,0)</f>
        <v>6983.5209535526319</v>
      </c>
      <c r="I41" s="30">
        <f>B41*E41/F41</f>
        <v>2.2911078962053573</v>
      </c>
      <c r="J41" s="13"/>
    </row>
  </sheetData>
  <conditionalFormatting sqref="G39:G41">
    <cfRule type="expression" dxfId="53" priority="5">
      <formula>OR(LEFT(G39,8)="CONFLICT",LEFT(G39,7)="EXCEEDS",LEFT(G39,4)="OVER",LEFT(G39,5)="LIMIT",LEFT(G39,7)="INVALID",LEFT(G39,9)="VIOLATION",LEFT(G39,8)="BAUD ERR",LEFT(G39,4)="HIGH",LEFT(G39,5)="BELOW",LEFT(G39,4)="FAIL",LEFT(G39,7)="TOO BIG")</formula>
    </cfRule>
    <cfRule type="expression" dxfId="52" priority="6">
      <formula>OR(LEFT(G39,8)="MARGINAL",LEFT(G39,3)="MED",LEFT(G39,5)="CHECK",LEFT(G39,3)="TL:")</formula>
    </cfRule>
    <cfRule type="expression" dxfId="51" priority="7">
      <formula>LEFT(G39,2)="OK"</formula>
    </cfRule>
  </conditionalFormatting>
  <conditionalFormatting sqref="J12:J35">
    <cfRule type="expression" dxfId="50" priority="2">
      <formula>OR(LEFT(J12,8)="CONFLICT",LEFT(J12,7)="EXCEEDS",LEFT(J12,4)="OVER",LEFT(J12,5)="LIMIT",LEFT(J12,7)="INVALID",LEFT(J12,9)="VIOLATION",LEFT(J12,8)="BAUD ERR",LEFT(J12,4)="HIGH",LEFT(J12,5)="BELOW",LEFT(J12,4)="FAIL",LEFT(J12,7)="TOO BIG")</formula>
    </cfRule>
    <cfRule type="expression" dxfId="49" priority="3">
      <formula>OR(LEFT(J12,8)="MARGINAL",LEFT(J12,3)="MED",LEFT(J12,5)="CHECK",LEFT(J12,3)="TL:")</formula>
    </cfRule>
    <cfRule type="expression" dxfId="48" priority="4">
      <formula>LEFT(J12,2)="OK"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  <pageSetUpPr fitToPage="1"/>
  </sheetPr>
  <dimension ref="A1:J58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2" width="10" customWidth="1"/>
    <col min="3" max="4" width="12" customWidth="1"/>
    <col min="5" max="5" width="60" customWidth="1"/>
    <col min="6" max="8" width="9" customWidth="1"/>
    <col min="9" max="9" width="60" customWidth="1"/>
  </cols>
  <sheetData>
    <row r="1" spans="1:10" ht="17.399999999999999" x14ac:dyDescent="0.3">
      <c r="A1" s="1" t="s">
        <v>597</v>
      </c>
    </row>
    <row r="2" spans="1:10" x14ac:dyDescent="0.3">
      <c r="A2" s="2" t="s">
        <v>598</v>
      </c>
    </row>
    <row r="3" spans="1:10" x14ac:dyDescent="0.3">
      <c r="A3" s="2" t="s">
        <v>2</v>
      </c>
    </row>
    <row r="5" spans="1:10" x14ac:dyDescent="0.3">
      <c r="A5" s="3" t="s">
        <v>599</v>
      </c>
      <c r="B5" s="4"/>
      <c r="C5" s="4"/>
      <c r="D5" s="4"/>
      <c r="E5" s="4"/>
      <c r="F5" s="4"/>
      <c r="G5" s="4"/>
      <c r="H5" s="4"/>
      <c r="I5" s="4"/>
      <c r="J5" s="4"/>
    </row>
    <row r="6" spans="1:10" ht="42" customHeight="1" x14ac:dyDescent="0.3">
      <c r="A6" s="12" t="s">
        <v>600</v>
      </c>
      <c r="B6" s="12" t="s">
        <v>601</v>
      </c>
      <c r="C6" s="12" t="s">
        <v>356</v>
      </c>
      <c r="D6" s="12" t="s">
        <v>178</v>
      </c>
      <c r="E6" s="12" t="s">
        <v>42</v>
      </c>
    </row>
    <row r="7" spans="1:10" x14ac:dyDescent="0.3">
      <c r="A7" s="13" t="s">
        <v>602</v>
      </c>
      <c r="B7" s="25">
        <v>3</v>
      </c>
      <c r="C7" s="27">
        <f>LoopHz</f>
        <v>1000</v>
      </c>
      <c r="D7" s="21">
        <f t="shared" ref="D7:D18" si="0">B7*C7</f>
        <v>3000</v>
      </c>
      <c r="E7" s="13" t="s">
        <v>603</v>
      </c>
    </row>
    <row r="8" spans="1:10" x14ac:dyDescent="0.3">
      <c r="A8" s="13" t="s">
        <v>604</v>
      </c>
      <c r="B8" s="25">
        <v>4</v>
      </c>
      <c r="C8" s="27">
        <f>LoopHz</f>
        <v>1000</v>
      </c>
      <c r="D8" s="21">
        <f t="shared" si="0"/>
        <v>4000</v>
      </c>
      <c r="E8" s="13" t="s">
        <v>605</v>
      </c>
    </row>
    <row r="9" spans="1:10" x14ac:dyDescent="0.3">
      <c r="A9" s="13" t="s">
        <v>606</v>
      </c>
      <c r="B9" s="25">
        <v>2</v>
      </c>
      <c r="C9" s="27">
        <f>LoopHz</f>
        <v>1000</v>
      </c>
      <c r="D9" s="21">
        <f t="shared" si="0"/>
        <v>2000</v>
      </c>
      <c r="E9" s="13"/>
    </row>
    <row r="10" spans="1:10" x14ac:dyDescent="0.3">
      <c r="A10" s="13" t="s">
        <v>607</v>
      </c>
      <c r="B10" s="25">
        <v>12</v>
      </c>
      <c r="C10" s="27">
        <f>LoopHz</f>
        <v>1000</v>
      </c>
      <c r="D10" s="21">
        <f t="shared" si="0"/>
        <v>12000</v>
      </c>
      <c r="E10" s="13"/>
    </row>
    <row r="11" spans="1:10" x14ac:dyDescent="0.3">
      <c r="A11" s="13" t="s">
        <v>608</v>
      </c>
      <c r="B11" s="25">
        <v>12</v>
      </c>
      <c r="C11" s="27">
        <f>LoopHz</f>
        <v>1000</v>
      </c>
      <c r="D11" s="21">
        <f t="shared" si="0"/>
        <v>12000</v>
      </c>
      <c r="E11" s="13" t="s">
        <v>609</v>
      </c>
    </row>
    <row r="12" spans="1:10" x14ac:dyDescent="0.3">
      <c r="A12" s="13" t="s">
        <v>610</v>
      </c>
      <c r="B12" s="25">
        <v>7</v>
      </c>
      <c r="C12" s="27">
        <f>MagHz</f>
        <v>1000</v>
      </c>
      <c r="D12" s="21">
        <f t="shared" si="0"/>
        <v>7000</v>
      </c>
      <c r="E12" s="13" t="s">
        <v>611</v>
      </c>
    </row>
    <row r="13" spans="1:10" x14ac:dyDescent="0.3">
      <c r="A13" s="13" t="s">
        <v>612</v>
      </c>
      <c r="B13" s="25">
        <v>8</v>
      </c>
      <c r="C13" s="27">
        <f>LoopHz</f>
        <v>1000</v>
      </c>
      <c r="D13" s="21">
        <f t="shared" si="0"/>
        <v>8000</v>
      </c>
      <c r="E13" s="13"/>
    </row>
    <row r="14" spans="1:10" x14ac:dyDescent="0.3">
      <c r="A14" s="13" t="s">
        <v>613</v>
      </c>
      <c r="B14" s="25">
        <v>2</v>
      </c>
      <c r="C14" s="27">
        <f>LoopHz</f>
        <v>1000</v>
      </c>
      <c r="D14" s="21">
        <f t="shared" si="0"/>
        <v>2000</v>
      </c>
      <c r="E14" s="13"/>
    </row>
    <row r="15" spans="1:10" x14ac:dyDescent="0.3">
      <c r="A15" s="13" t="s">
        <v>614</v>
      </c>
      <c r="B15" s="25">
        <v>2</v>
      </c>
      <c r="C15" s="27">
        <f>LoopHz</f>
        <v>1000</v>
      </c>
      <c r="D15" s="21">
        <f t="shared" si="0"/>
        <v>2000</v>
      </c>
      <c r="E15" s="13"/>
    </row>
    <row r="16" spans="1:10" x14ac:dyDescent="0.3">
      <c r="A16" s="13" t="s">
        <v>615</v>
      </c>
      <c r="B16" s="25">
        <v>48</v>
      </c>
      <c r="C16" s="27">
        <f>GpsHz</f>
        <v>10</v>
      </c>
      <c r="D16" s="21">
        <f t="shared" si="0"/>
        <v>480</v>
      </c>
      <c r="E16" s="13" t="s">
        <v>616</v>
      </c>
    </row>
    <row r="17" spans="1:10" x14ac:dyDescent="0.3">
      <c r="A17" s="13" t="s">
        <v>617</v>
      </c>
      <c r="B17" s="25">
        <v>24</v>
      </c>
      <c r="C17" s="21">
        <v>10</v>
      </c>
      <c r="D17" s="21">
        <f t="shared" si="0"/>
        <v>240</v>
      </c>
      <c r="E17" s="13" t="s">
        <v>618</v>
      </c>
    </row>
    <row r="18" spans="1:10" x14ac:dyDescent="0.3">
      <c r="A18" s="13" t="s">
        <v>619</v>
      </c>
      <c r="B18" s="25">
        <v>32</v>
      </c>
      <c r="C18" s="21">
        <v>1</v>
      </c>
      <c r="D18" s="21">
        <f t="shared" si="0"/>
        <v>32</v>
      </c>
      <c r="E18" s="13"/>
    </row>
    <row r="19" spans="1:10" x14ac:dyDescent="0.3">
      <c r="A19" s="49" t="s">
        <v>620</v>
      </c>
      <c r="B19" s="55">
        <f>SUM(B7:B18)</f>
        <v>156</v>
      </c>
      <c r="C19" s="50"/>
      <c r="D19" s="56">
        <f>SUM(D7:D18)</f>
        <v>52752</v>
      </c>
      <c r="E19" s="50"/>
    </row>
    <row r="21" spans="1:10" x14ac:dyDescent="0.3">
      <c r="A21" s="5" t="s">
        <v>621</v>
      </c>
      <c r="D21" s="57">
        <f>LOG_Bps/LoopHz</f>
        <v>52.752000000000002</v>
      </c>
      <c r="E21" s="7" t="s">
        <v>622</v>
      </c>
      <c r="F21" s="2" t="s">
        <v>623</v>
      </c>
    </row>
    <row r="22" spans="1:10" x14ac:dyDescent="0.3">
      <c r="A22" s="5" t="s">
        <v>624</v>
      </c>
      <c r="D22" s="8">
        <f>LOG_Bps*3600/1000000</f>
        <v>189.90719999999999</v>
      </c>
      <c r="E22" s="7" t="s">
        <v>625</v>
      </c>
      <c r="F22" s="2"/>
    </row>
    <row r="23" spans="1:10" x14ac:dyDescent="0.3">
      <c r="A23" s="5" t="s">
        <v>626</v>
      </c>
      <c r="D23" s="6">
        <v>120</v>
      </c>
      <c r="E23" s="7" t="s">
        <v>627</v>
      </c>
      <c r="F23" s="2" t="s">
        <v>628</v>
      </c>
    </row>
    <row r="24" spans="1:10" x14ac:dyDescent="0.3">
      <c r="A24" s="5" t="s">
        <v>629</v>
      </c>
      <c r="D24" s="8">
        <f>LOG_Bps*MissionMin*60/1000000</f>
        <v>379.81439999999998</v>
      </c>
      <c r="E24" s="7" t="s">
        <v>630</v>
      </c>
      <c r="F24" s="2"/>
    </row>
    <row r="25" spans="1:10" x14ac:dyDescent="0.3">
      <c r="A25" s="5" t="s">
        <v>631</v>
      </c>
      <c r="D25" s="6">
        <v>8</v>
      </c>
      <c r="E25" s="7" t="s">
        <v>632</v>
      </c>
      <c r="F25" s="2" t="s">
        <v>628</v>
      </c>
    </row>
    <row r="26" spans="1:10" x14ac:dyDescent="0.3">
      <c r="A26" s="5" t="s">
        <v>633</v>
      </c>
      <c r="D26" s="58">
        <f>SD_GB*1000000000/LOG_Bps/3600</f>
        <v>42.125838304182253</v>
      </c>
      <c r="E26" s="7" t="s">
        <v>634</v>
      </c>
      <c r="F26" s="2"/>
    </row>
    <row r="27" spans="1:10" x14ac:dyDescent="0.3">
      <c r="A27" s="5" t="s">
        <v>635</v>
      </c>
      <c r="D27" s="39">
        <v>10</v>
      </c>
      <c r="E27" s="7" t="s">
        <v>636</v>
      </c>
      <c r="F27" s="2" t="s">
        <v>637</v>
      </c>
    </row>
    <row r="28" spans="1:10" x14ac:dyDescent="0.3">
      <c r="A28" s="5" t="s">
        <v>638</v>
      </c>
      <c r="D28" s="59">
        <f>LOG_Bps/(SD_MinMBps*1000000)</f>
        <v>5.2751999999999999E-3</v>
      </c>
      <c r="E28" s="7"/>
      <c r="F28" s="2"/>
    </row>
    <row r="30" spans="1:10" x14ac:dyDescent="0.3">
      <c r="A30" s="3" t="s">
        <v>639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5" t="s">
        <v>640</v>
      </c>
      <c r="D31" s="6">
        <v>250</v>
      </c>
      <c r="E31" s="7" t="s">
        <v>641</v>
      </c>
      <c r="F31" s="2" t="s">
        <v>642</v>
      </c>
    </row>
    <row r="32" spans="1:10" x14ac:dyDescent="0.3">
      <c r="A32" s="5" t="s">
        <v>643</v>
      </c>
      <c r="D32" s="6">
        <v>4096</v>
      </c>
      <c r="E32" s="7" t="s">
        <v>622</v>
      </c>
      <c r="F32" s="2" t="s">
        <v>644</v>
      </c>
    </row>
    <row r="33" spans="1:10" x14ac:dyDescent="0.3">
      <c r="A33" s="5" t="s">
        <v>645</v>
      </c>
      <c r="D33" s="58">
        <f>LOG_Bps*SD_Stall/1000</f>
        <v>13188</v>
      </c>
      <c r="E33" s="7" t="s">
        <v>622</v>
      </c>
      <c r="F33" s="2"/>
    </row>
    <row r="34" spans="1:10" x14ac:dyDescent="0.3">
      <c r="A34" s="5" t="s">
        <v>646</v>
      </c>
      <c r="D34" s="58">
        <f>CEILING(MAX(2*SD_Chunk,LOG_Bps*SD_Stall/1000+SD_Chunk),512)</f>
        <v>17408</v>
      </c>
      <c r="E34" s="7" t="s">
        <v>622</v>
      </c>
      <c r="F34" s="2" t="s">
        <v>647</v>
      </c>
    </row>
    <row r="35" spans="1:10" x14ac:dyDescent="0.3">
      <c r="A35" s="5" t="s">
        <v>648</v>
      </c>
      <c r="D35" s="8">
        <f>SD_Chunk/LOG_Bps*1000</f>
        <v>77.64634516226873</v>
      </c>
      <c r="E35" s="7" t="s">
        <v>641</v>
      </c>
      <c r="F35" s="2" t="s">
        <v>649</v>
      </c>
    </row>
    <row r="37" spans="1:10" x14ac:dyDescent="0.3">
      <c r="A37" s="3" t="s">
        <v>650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ht="42" customHeight="1" x14ac:dyDescent="0.3">
      <c r="A38" s="12" t="s">
        <v>25</v>
      </c>
      <c r="B38" s="12" t="s">
        <v>651</v>
      </c>
      <c r="C38" s="12" t="s">
        <v>601</v>
      </c>
      <c r="D38" s="12" t="s">
        <v>42</v>
      </c>
    </row>
    <row r="39" spans="1:10" ht="66" x14ac:dyDescent="0.3">
      <c r="A39" s="13" t="s">
        <v>43</v>
      </c>
      <c r="B39" s="13" t="s">
        <v>652</v>
      </c>
      <c r="C39" s="20">
        <v>32768</v>
      </c>
      <c r="D39" s="13" t="s">
        <v>653</v>
      </c>
    </row>
    <row r="40" spans="1:10" ht="26.4" x14ac:dyDescent="0.3">
      <c r="A40" s="13" t="s">
        <v>43</v>
      </c>
      <c r="B40" s="13" t="s">
        <v>654</v>
      </c>
      <c r="C40" s="21">
        <f>LOG_Buf</f>
        <v>17408</v>
      </c>
      <c r="D40" s="13"/>
    </row>
    <row r="41" spans="1:10" ht="66" x14ac:dyDescent="0.3">
      <c r="A41" s="13" t="s">
        <v>43</v>
      </c>
      <c r="B41" s="13" t="s">
        <v>655</v>
      </c>
      <c r="C41" s="27">
        <f>2*SUMIFS(DMA_Bytes,DMA_Board,"B1",DMA_Use,"Y")</f>
        <v>2446</v>
      </c>
      <c r="D41" s="13" t="s">
        <v>656</v>
      </c>
    </row>
    <row r="42" spans="1:10" ht="52.8" x14ac:dyDescent="0.3">
      <c r="A42" s="13" t="s">
        <v>43</v>
      </c>
      <c r="B42" s="13" t="s">
        <v>657</v>
      </c>
      <c r="C42" s="20">
        <v>512</v>
      </c>
      <c r="D42" s="13"/>
    </row>
    <row r="43" spans="1:10" ht="66" x14ac:dyDescent="0.3">
      <c r="A43" s="13" t="s">
        <v>43</v>
      </c>
      <c r="B43" s="13" t="s">
        <v>658</v>
      </c>
      <c r="C43" s="20">
        <v>5200</v>
      </c>
      <c r="D43" s="13" t="s">
        <v>659</v>
      </c>
    </row>
    <row r="44" spans="1:10" ht="26.4" x14ac:dyDescent="0.3">
      <c r="A44" s="13" t="s">
        <v>43</v>
      </c>
      <c r="B44" s="13" t="s">
        <v>660</v>
      </c>
      <c r="C44" s="20">
        <v>2048</v>
      </c>
      <c r="D44" s="13" t="s">
        <v>661</v>
      </c>
    </row>
    <row r="45" spans="1:10" ht="52.8" x14ac:dyDescent="0.3">
      <c r="A45" s="13" t="s">
        <v>43</v>
      </c>
      <c r="B45" s="13" t="s">
        <v>662</v>
      </c>
      <c r="C45" s="20">
        <v>6144</v>
      </c>
      <c r="D45" s="13" t="s">
        <v>661</v>
      </c>
    </row>
    <row r="46" spans="1:10" ht="26.4" x14ac:dyDescent="0.3">
      <c r="A46" s="13" t="s">
        <v>47</v>
      </c>
      <c r="B46" s="13" t="s">
        <v>663</v>
      </c>
      <c r="C46" s="27">
        <f>2*SUMIFS(DMA_Bytes,DMA_Board,"B2",DMA_Use,"Y")</f>
        <v>256</v>
      </c>
      <c r="D46" s="13"/>
    </row>
    <row r="47" spans="1:10" ht="26.4" x14ac:dyDescent="0.3">
      <c r="A47" s="13" t="s">
        <v>47</v>
      </c>
      <c r="B47" s="13" t="s">
        <v>664</v>
      </c>
      <c r="C47" s="20">
        <v>256</v>
      </c>
      <c r="D47" s="13"/>
    </row>
    <row r="48" spans="1:10" ht="26.4" x14ac:dyDescent="0.3">
      <c r="A48" s="13" t="s">
        <v>47</v>
      </c>
      <c r="B48" s="13" t="s">
        <v>665</v>
      </c>
      <c r="C48" s="20">
        <v>2048</v>
      </c>
      <c r="D48" s="13"/>
    </row>
    <row r="49" spans="1:9" ht="26.4" x14ac:dyDescent="0.3">
      <c r="A49" s="13" t="s">
        <v>47</v>
      </c>
      <c r="B49" s="13" t="s">
        <v>666</v>
      </c>
      <c r="C49" s="20">
        <v>3072</v>
      </c>
      <c r="D49" s="13" t="s">
        <v>661</v>
      </c>
    </row>
    <row r="50" spans="1:9" ht="26.4" x14ac:dyDescent="0.3">
      <c r="A50" s="13" t="s">
        <v>50</v>
      </c>
      <c r="B50" s="13" t="s">
        <v>663</v>
      </c>
      <c r="C50" s="27">
        <f>2*SUMIFS(DMA_Bytes,DMA_Board,"B3",DMA_Use,"Y")</f>
        <v>304</v>
      </c>
      <c r="D50" s="13"/>
    </row>
    <row r="51" spans="1:9" ht="26.4" x14ac:dyDescent="0.3">
      <c r="A51" s="13" t="s">
        <v>50</v>
      </c>
      <c r="B51" s="13" t="s">
        <v>667</v>
      </c>
      <c r="C51" s="20">
        <v>512</v>
      </c>
      <c r="D51" s="13"/>
    </row>
    <row r="52" spans="1:9" ht="26.4" x14ac:dyDescent="0.3">
      <c r="A52" s="13" t="s">
        <v>50</v>
      </c>
      <c r="B52" s="13" t="s">
        <v>665</v>
      </c>
      <c r="C52" s="20">
        <v>2048</v>
      </c>
      <c r="D52" s="13"/>
    </row>
    <row r="53" spans="1:9" ht="26.4" x14ac:dyDescent="0.3">
      <c r="A53" s="13" t="s">
        <v>50</v>
      </c>
      <c r="B53" s="13" t="s">
        <v>666</v>
      </c>
      <c r="C53" s="20">
        <v>3072</v>
      </c>
      <c r="D53" s="13" t="s">
        <v>661</v>
      </c>
    </row>
    <row r="55" spans="1:9" ht="42" customHeight="1" x14ac:dyDescent="0.3">
      <c r="A55" s="12" t="s">
        <v>25</v>
      </c>
      <c r="B55" s="12" t="s">
        <v>668</v>
      </c>
      <c r="C55" s="12" t="s">
        <v>669</v>
      </c>
      <c r="D55" s="12" t="s">
        <v>389</v>
      </c>
      <c r="E55" s="12" t="s">
        <v>41</v>
      </c>
      <c r="F55" s="12" t="s">
        <v>670</v>
      </c>
      <c r="G55" s="12" t="s">
        <v>671</v>
      </c>
      <c r="H55" s="12" t="s">
        <v>672</v>
      </c>
      <c r="I55" s="12" t="s">
        <v>42</v>
      </c>
    </row>
    <row r="56" spans="1:9" ht="39.6" x14ac:dyDescent="0.3">
      <c r="A56" s="13" t="s">
        <v>43</v>
      </c>
      <c r="B56" s="21">
        <f>SUMIFS($C$39:$C$53,$A$39:$A$53,A56)</f>
        <v>66526</v>
      </c>
      <c r="C56" s="23">
        <v>131072</v>
      </c>
      <c r="D56" s="33">
        <f>B56/C56</f>
        <v>0.5075531005859375</v>
      </c>
      <c r="E56" s="13" t="str">
        <f>IF(D56&lt;=0.75,"OK",IF(D56&lt;=0.9,"MARGINAL","OVER"))</f>
        <v>OK</v>
      </c>
      <c r="F56" s="23">
        <v>96</v>
      </c>
      <c r="G56" s="23">
        <v>1024</v>
      </c>
      <c r="H56" s="33">
        <f>F56/G56</f>
        <v>9.375E-2</v>
      </c>
      <c r="I56" s="13" t="s">
        <v>673</v>
      </c>
    </row>
    <row r="57" spans="1:9" x14ac:dyDescent="0.3">
      <c r="A57" s="13" t="s">
        <v>47</v>
      </c>
      <c r="B57" s="21">
        <f>SUMIFS($C$39:$C$53,$A$39:$A$53,A57)</f>
        <v>5632</v>
      </c>
      <c r="C57" s="23">
        <v>36864</v>
      </c>
      <c r="D57" s="33">
        <f>B57/C57</f>
        <v>0.15277777777777779</v>
      </c>
      <c r="E57" s="13" t="str">
        <f>IF(D57&lt;=0.75,"OK",IF(D57&lt;=0.9,"MARGINAL","OVER"))</f>
        <v>OK</v>
      </c>
      <c r="F57" s="23">
        <v>24</v>
      </c>
      <c r="G57" s="23">
        <v>128</v>
      </c>
      <c r="H57" s="33">
        <f>F57/G57</f>
        <v>0.1875</v>
      </c>
      <c r="I57" s="13" t="s">
        <v>674</v>
      </c>
    </row>
    <row r="58" spans="1:9" x14ac:dyDescent="0.3">
      <c r="A58" s="13" t="s">
        <v>50</v>
      </c>
      <c r="B58" s="21">
        <f>SUMIFS($C$39:$C$53,$A$39:$A$53,A58)</f>
        <v>5936</v>
      </c>
      <c r="C58" s="23">
        <v>36864</v>
      </c>
      <c r="D58" s="33">
        <f>B58/C58</f>
        <v>0.16102430555555555</v>
      </c>
      <c r="E58" s="13" t="str">
        <f>IF(D58&lt;=0.75,"OK",IF(D58&lt;=0.9,"MARGINAL","OVER"))</f>
        <v>OK</v>
      </c>
      <c r="F58" s="23">
        <v>28</v>
      </c>
      <c r="G58" s="23">
        <v>128</v>
      </c>
      <c r="H58" s="33">
        <f>F58/G58</f>
        <v>0.21875</v>
      </c>
      <c r="I58" s="13"/>
    </row>
  </sheetData>
  <conditionalFormatting sqref="E56:E58">
    <cfRule type="expression" dxfId="47" priority="2">
      <formula>OR(LEFT(E56,8)="CONFLICT",LEFT(E56,7)="EXCEEDS",LEFT(E56,4)="OVER",LEFT(E56,5)="LIMIT",LEFT(E56,7)="INVALID",LEFT(E56,9)="VIOLATION",LEFT(E56,8)="BAUD ERR",LEFT(E56,4)="HIGH",LEFT(E56,5)="BELOW",LEFT(E56,4)="FAIL",LEFT(E56,7)="TOO BIG")</formula>
    </cfRule>
    <cfRule type="expression" dxfId="46" priority="3">
      <formula>OR(LEFT(E56,8)="MARGINAL",LEFT(E56,3)="MED",LEFT(E56,5)="CHECK",LEFT(E56,3)="TL:")</formula>
    </cfRule>
    <cfRule type="expression" dxfId="45" priority="4">
      <formula>LEFT(E56,2)="OK"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M50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2" width="36" customWidth="1"/>
    <col min="3" max="3" width="11" customWidth="1"/>
    <col min="4" max="5" width="10" customWidth="1"/>
    <col min="6" max="12" width="9" customWidth="1"/>
    <col min="13" max="13" width="50" customWidth="1"/>
  </cols>
  <sheetData>
    <row r="1" spans="1:13" ht="17.399999999999999" x14ac:dyDescent="0.3">
      <c r="A1" s="1" t="s">
        <v>675</v>
      </c>
    </row>
    <row r="2" spans="1:13" x14ac:dyDescent="0.3">
      <c r="A2" s="2" t="s">
        <v>676</v>
      </c>
    </row>
    <row r="3" spans="1:13" x14ac:dyDescent="0.3">
      <c r="A3" s="2" t="s">
        <v>2</v>
      </c>
    </row>
    <row r="5" spans="1:13" x14ac:dyDescent="0.3">
      <c r="A5" s="3" t="s">
        <v>677</v>
      </c>
      <c r="B5" s="4"/>
      <c r="C5" s="4"/>
      <c r="D5" s="4"/>
      <c r="E5" s="4"/>
      <c r="F5" s="4"/>
      <c r="G5" s="4"/>
      <c r="H5" s="4"/>
      <c r="I5" s="4"/>
      <c r="J5" s="4"/>
    </row>
    <row r="6" spans="1:13" x14ac:dyDescent="0.3">
      <c r="A6" s="5" t="s">
        <v>678</v>
      </c>
      <c r="D6" s="39">
        <v>10</v>
      </c>
      <c r="E6" s="7" t="s">
        <v>679</v>
      </c>
      <c r="F6" s="2" t="s">
        <v>680</v>
      </c>
    </row>
    <row r="7" spans="1:13" x14ac:dyDescent="0.3">
      <c r="A7" s="5" t="s">
        <v>681</v>
      </c>
      <c r="D7" s="39">
        <v>10</v>
      </c>
      <c r="E7" s="7" t="s">
        <v>679</v>
      </c>
      <c r="F7" s="2" t="s">
        <v>682</v>
      </c>
    </row>
    <row r="8" spans="1:13" x14ac:dyDescent="0.3">
      <c r="A8" s="5" t="s">
        <v>683</v>
      </c>
      <c r="D8" s="39">
        <v>3</v>
      </c>
      <c r="E8" s="7" t="s">
        <v>679</v>
      </c>
      <c r="F8" s="2" t="s">
        <v>684</v>
      </c>
    </row>
    <row r="9" spans="1:13" x14ac:dyDescent="0.3">
      <c r="A9" s="5" t="s">
        <v>685</v>
      </c>
      <c r="D9" s="39">
        <v>5</v>
      </c>
      <c r="E9" s="7" t="s">
        <v>679</v>
      </c>
      <c r="F9" s="2" t="s">
        <v>686</v>
      </c>
    </row>
    <row r="10" spans="1:13" x14ac:dyDescent="0.3">
      <c r="A10" s="5" t="s">
        <v>687</v>
      </c>
      <c r="D10" s="60">
        <f>Xt_tol+Xt_temp+Xt_age+Xt_pull</f>
        <v>28</v>
      </c>
      <c r="E10" s="7" t="s">
        <v>679</v>
      </c>
      <c r="F10" s="2"/>
    </row>
    <row r="12" spans="1:13" x14ac:dyDescent="0.3">
      <c r="A12" s="3" t="s">
        <v>688</v>
      </c>
      <c r="B12" s="4"/>
      <c r="C12" s="4"/>
      <c r="D12" s="4"/>
      <c r="E12" s="4"/>
      <c r="F12" s="4"/>
      <c r="G12" s="4"/>
      <c r="H12" s="4"/>
      <c r="I12" s="4"/>
      <c r="J12" s="4"/>
    </row>
    <row r="13" spans="1:13" ht="42" customHeight="1" x14ac:dyDescent="0.3">
      <c r="A13" s="12" t="s">
        <v>689</v>
      </c>
      <c r="B13" s="12" t="s">
        <v>690</v>
      </c>
      <c r="C13" s="12" t="s">
        <v>691</v>
      </c>
      <c r="D13" s="12" t="s">
        <v>692</v>
      </c>
      <c r="E13" s="12" t="s">
        <v>693</v>
      </c>
      <c r="F13" s="12" t="s">
        <v>694</v>
      </c>
      <c r="G13" s="12" t="s">
        <v>695</v>
      </c>
      <c r="H13" s="12" t="s">
        <v>696</v>
      </c>
      <c r="I13" s="12" t="s">
        <v>697</v>
      </c>
      <c r="J13" s="12" t="s">
        <v>698</v>
      </c>
      <c r="K13" s="12" t="s">
        <v>520</v>
      </c>
      <c r="L13" s="12" t="s">
        <v>41</v>
      </c>
      <c r="M13" s="12" t="s">
        <v>42</v>
      </c>
    </row>
    <row r="14" spans="1:13" ht="26.4" x14ac:dyDescent="0.3">
      <c r="A14" s="13" t="s">
        <v>699</v>
      </c>
      <c r="B14" s="19" t="s">
        <v>112</v>
      </c>
      <c r="C14" s="19" t="s">
        <v>145</v>
      </c>
      <c r="D14" s="61">
        <f t="shared" ref="D14:E17" si="0">INDEX(AL_Err,MATCH(B14,AL_ID,0))</f>
        <v>0</v>
      </c>
      <c r="E14" s="61">
        <f t="shared" si="0"/>
        <v>0</v>
      </c>
      <c r="F14" s="62">
        <f>2*Xt_ppm/1000000</f>
        <v>5.5999999999999999E-5</v>
      </c>
      <c r="G14" s="16">
        <v>20</v>
      </c>
      <c r="H14" s="61">
        <f>G14*0.000000001*INDEX(AL_Bit,MATCH(B14,AL_ID,0))/10</f>
        <v>2E-3</v>
      </c>
      <c r="I14" s="62">
        <f>ABS(D14)+ABS(E14)+F14+H14</f>
        <v>2.0560000000000001E-3</v>
      </c>
      <c r="J14" s="63">
        <v>0.03</v>
      </c>
      <c r="K14" s="62">
        <f>J14-I14</f>
        <v>2.7944E-2</v>
      </c>
      <c r="L14" s="13" t="str">
        <f>IF(K14&gt;J14/2,"OK",IF(K14&gt;0,"MARGINAL","FAIL"))</f>
        <v>OK</v>
      </c>
      <c r="M14" s="13" t="s">
        <v>700</v>
      </c>
    </row>
    <row r="15" spans="1:13" ht="26.4" x14ac:dyDescent="0.3">
      <c r="A15" s="13" t="s">
        <v>701</v>
      </c>
      <c r="B15" s="19" t="s">
        <v>145</v>
      </c>
      <c r="C15" s="19" t="s">
        <v>112</v>
      </c>
      <c r="D15" s="61">
        <f t="shared" si="0"/>
        <v>0</v>
      </c>
      <c r="E15" s="61">
        <f t="shared" si="0"/>
        <v>0</v>
      </c>
      <c r="F15" s="62">
        <f>2*Xt_ppm/1000000</f>
        <v>5.5999999999999999E-5</v>
      </c>
      <c r="G15" s="16">
        <v>20</v>
      </c>
      <c r="H15" s="61">
        <f>G15*0.000000001*INDEX(AL_Bit,MATCH(B15,AL_ID,0))/10</f>
        <v>2E-3</v>
      </c>
      <c r="I15" s="62">
        <f>ABS(D15)+ABS(E15)+F15+H15</f>
        <v>2.0560000000000001E-3</v>
      </c>
      <c r="J15" s="63">
        <v>0.03</v>
      </c>
      <c r="K15" s="62">
        <f>J15-I15</f>
        <v>2.7944E-2</v>
      </c>
      <c r="L15" s="13" t="str">
        <f>IF(K15&gt;J15/2,"OK",IF(K15&gt;0,"MARGINAL","FAIL"))</f>
        <v>OK</v>
      </c>
      <c r="M15" s="13" t="s">
        <v>702</v>
      </c>
    </row>
    <row r="16" spans="1:13" ht="39.6" x14ac:dyDescent="0.3">
      <c r="A16" s="13" t="s">
        <v>703</v>
      </c>
      <c r="B16" s="19" t="s">
        <v>102</v>
      </c>
      <c r="C16" s="19" t="s">
        <v>159</v>
      </c>
      <c r="D16" s="61">
        <f t="shared" si="0"/>
        <v>0</v>
      </c>
      <c r="E16" s="61">
        <f t="shared" si="0"/>
        <v>0</v>
      </c>
      <c r="F16" s="62">
        <f>2*Xt_ppm/1000000</f>
        <v>5.5999999999999999E-5</v>
      </c>
      <c r="G16" s="16">
        <v>30</v>
      </c>
      <c r="H16" s="61">
        <f>G16*0.000000001*INDEX(AL_Bit,MATCH(B16,AL_ID,0))/10</f>
        <v>3.0000000000000001E-3</v>
      </c>
      <c r="I16" s="62">
        <f>ABS(D16)+ABS(E16)+F16+H16</f>
        <v>3.0560000000000001E-3</v>
      </c>
      <c r="J16" s="63">
        <v>0.03</v>
      </c>
      <c r="K16" s="62">
        <f>J16-I16</f>
        <v>2.6943999999999999E-2</v>
      </c>
      <c r="L16" s="13" t="str">
        <f>IF(K16&gt;J16/2,"OK",IF(K16&gt;0,"MARGINAL","FAIL"))</f>
        <v>OK</v>
      </c>
      <c r="M16" s="13" t="s">
        <v>704</v>
      </c>
    </row>
    <row r="17" spans="1:13" ht="26.4" x14ac:dyDescent="0.3">
      <c r="A17" s="13" t="s">
        <v>705</v>
      </c>
      <c r="B17" s="19" t="s">
        <v>159</v>
      </c>
      <c r="C17" s="19" t="s">
        <v>102</v>
      </c>
      <c r="D17" s="61">
        <f t="shared" si="0"/>
        <v>0</v>
      </c>
      <c r="E17" s="61">
        <f t="shared" si="0"/>
        <v>0</v>
      </c>
      <c r="F17" s="62">
        <f>2*Xt_ppm/1000000</f>
        <v>5.5999999999999999E-5</v>
      </c>
      <c r="G17" s="16">
        <v>30</v>
      </c>
      <c r="H17" s="61">
        <f>G17*0.000000001*INDEX(AL_Bit,MATCH(B17,AL_ID,0))/10</f>
        <v>3.0000000000000001E-3</v>
      </c>
      <c r="I17" s="62">
        <f>ABS(D17)+ABS(E17)+F17+H17</f>
        <v>3.0560000000000001E-3</v>
      </c>
      <c r="J17" s="63">
        <v>0.03</v>
      </c>
      <c r="K17" s="62">
        <f>J17-I17</f>
        <v>2.6943999999999999E-2</v>
      </c>
      <c r="L17" s="13" t="str">
        <f>IF(K17&gt;J17/2,"OK",IF(K17&gt;0,"MARGINAL","FAIL"))</f>
        <v>OK</v>
      </c>
      <c r="M17" s="13" t="s">
        <v>702</v>
      </c>
    </row>
    <row r="19" spans="1:13" x14ac:dyDescent="0.3">
      <c r="A19" s="3" t="s">
        <v>706</v>
      </c>
      <c r="B19" s="4"/>
      <c r="C19" s="4"/>
      <c r="D19" s="4"/>
      <c r="E19" s="4"/>
      <c r="F19" s="4"/>
      <c r="G19" s="4"/>
      <c r="H19" s="4"/>
      <c r="I19" s="4"/>
      <c r="J19" s="4"/>
    </row>
    <row r="20" spans="1:13" x14ac:dyDescent="0.3">
      <c r="A20" s="5" t="s">
        <v>707</v>
      </c>
      <c r="D20" s="64">
        <f>1/LoopHz</f>
        <v>1E-3</v>
      </c>
      <c r="E20" s="7" t="s">
        <v>708</v>
      </c>
      <c r="F20" s="2"/>
    </row>
    <row r="21" spans="1:13" x14ac:dyDescent="0.3">
      <c r="A21" s="5" t="s">
        <v>709</v>
      </c>
      <c r="D21" s="60">
        <f>2*Xt_ppm</f>
        <v>56</v>
      </c>
      <c r="E21" s="7" t="s">
        <v>679</v>
      </c>
      <c r="F21" s="2"/>
    </row>
    <row r="22" spans="1:13" x14ac:dyDescent="0.3">
      <c r="A22" s="5" t="s">
        <v>710</v>
      </c>
      <c r="D22" s="65">
        <f>2*Xt_ppm*0.000001/LoopHz*1000000</f>
        <v>5.6000000000000001E-2</v>
      </c>
      <c r="E22" s="7" t="s">
        <v>10</v>
      </c>
      <c r="F22" s="2"/>
    </row>
    <row r="23" spans="1:13" x14ac:dyDescent="0.3">
      <c r="A23" s="5" t="s">
        <v>711</v>
      </c>
      <c r="D23" s="39">
        <v>2</v>
      </c>
      <c r="E23" s="7" t="s">
        <v>10</v>
      </c>
      <c r="F23" s="2" t="s">
        <v>712</v>
      </c>
    </row>
    <row r="24" spans="1:13" x14ac:dyDescent="0.3">
      <c r="A24" s="5" t="s">
        <v>713</v>
      </c>
      <c r="D24" s="66">
        <f>IsrJit+INDEX(TIM_Tick,MATCH("B2",TIM_Board,0))^-1*1000000+D22</f>
        <v>3.056</v>
      </c>
      <c r="E24" s="7" t="s">
        <v>10</v>
      </c>
      <c r="F24" s="2" t="s">
        <v>714</v>
      </c>
    </row>
    <row r="25" spans="1:13" x14ac:dyDescent="0.3">
      <c r="A25" s="5" t="s">
        <v>715</v>
      </c>
      <c r="D25" s="66">
        <f>IsrJit+10/INDEX(AL_Bit,MATCH("B1-USART1",AL_ID,0))*1000000+D22</f>
        <v>12.055999999999999</v>
      </c>
      <c r="E25" s="7" t="s">
        <v>10</v>
      </c>
      <c r="F25" s="2" t="s">
        <v>716</v>
      </c>
    </row>
    <row r="26" spans="1:13" x14ac:dyDescent="0.3">
      <c r="A26" s="5" t="s">
        <v>717</v>
      </c>
      <c r="D26" s="42">
        <v>0.03</v>
      </c>
      <c r="E26" s="7" t="s">
        <v>10</v>
      </c>
      <c r="F26" s="2" t="s">
        <v>718</v>
      </c>
    </row>
    <row r="27" spans="1:13" x14ac:dyDescent="0.3">
      <c r="A27" s="5" t="s">
        <v>719</v>
      </c>
      <c r="D27" s="65">
        <f>1/INDEX(TIM_Tick,MATCH("TIM3",TIM_Name,0))*1000000</f>
        <v>1</v>
      </c>
      <c r="E27" s="7" t="s">
        <v>10</v>
      </c>
      <c r="F27" s="2" t="s">
        <v>720</v>
      </c>
    </row>
    <row r="28" spans="1:13" x14ac:dyDescent="0.3">
      <c r="A28" s="5" t="s">
        <v>721</v>
      </c>
      <c r="D28" s="58">
        <f>Xt_ppm*60</f>
        <v>1680</v>
      </c>
      <c r="E28" s="7" t="s">
        <v>10</v>
      </c>
      <c r="F28" s="2" t="s">
        <v>722</v>
      </c>
    </row>
    <row r="30" spans="1:13" x14ac:dyDescent="0.3">
      <c r="A30" s="3" t="s">
        <v>723</v>
      </c>
      <c r="B30" s="4"/>
      <c r="C30" s="4"/>
      <c r="D30" s="4"/>
      <c r="E30" s="4"/>
      <c r="F30" s="4"/>
      <c r="G30" s="4"/>
      <c r="H30" s="4"/>
      <c r="I30" s="4"/>
      <c r="J30" s="4"/>
    </row>
    <row r="31" spans="1:13" ht="42" customHeight="1" x14ac:dyDescent="0.3">
      <c r="A31" s="12" t="s">
        <v>724</v>
      </c>
      <c r="B31" s="12" t="s">
        <v>725</v>
      </c>
      <c r="C31" s="12" t="s">
        <v>641</v>
      </c>
      <c r="D31" s="12" t="s">
        <v>42</v>
      </c>
    </row>
    <row r="32" spans="1:13" ht="79.2" x14ac:dyDescent="0.3">
      <c r="A32" s="13" t="s">
        <v>726</v>
      </c>
      <c r="B32" s="13" t="s">
        <v>727</v>
      </c>
      <c r="C32" s="31">
        <v>0.6</v>
      </c>
      <c r="D32" s="13" t="s">
        <v>728</v>
      </c>
    </row>
    <row r="33" spans="1:4" x14ac:dyDescent="0.3">
      <c r="A33" s="13" t="s">
        <v>726</v>
      </c>
      <c r="B33" s="13" t="s">
        <v>729</v>
      </c>
      <c r="C33" s="32">
        <f>LoopUs/1000</f>
        <v>1</v>
      </c>
      <c r="D33" s="13"/>
    </row>
    <row r="34" spans="1:4" x14ac:dyDescent="0.3">
      <c r="A34" s="13" t="s">
        <v>726</v>
      </c>
      <c r="B34" s="13" t="s">
        <v>730</v>
      </c>
      <c r="C34" s="32">
        <f>INDEX(IDR_Time,MATCH("T01",IDR_ID,0))/1000</f>
        <v>1.4E-2</v>
      </c>
      <c r="D34" s="13"/>
    </row>
    <row r="35" spans="1:4" x14ac:dyDescent="0.3">
      <c r="A35" s="13" t="s">
        <v>726</v>
      </c>
      <c r="B35" s="13" t="s">
        <v>731</v>
      </c>
      <c r="C35" s="32">
        <f>SUMIFS(TL_CPUus,TL_Task,"Sensor fusion*")/1000+SUMIFS(TL_CPUus,TL_Task,"Frame pack*")/1000</f>
        <v>0.75</v>
      </c>
      <c r="D35" s="13"/>
    </row>
    <row r="36" spans="1:4" x14ac:dyDescent="0.3">
      <c r="A36" s="13" t="s">
        <v>726</v>
      </c>
      <c r="B36" s="13" t="s">
        <v>732</v>
      </c>
      <c r="C36" s="32">
        <f>LOG_FillMs</f>
        <v>77.64634516226873</v>
      </c>
      <c r="D36" s="13"/>
    </row>
    <row r="37" spans="1:4" ht="26.4" x14ac:dyDescent="0.3">
      <c r="A37" s="13" t="s">
        <v>726</v>
      </c>
      <c r="B37" s="13" t="s">
        <v>733</v>
      </c>
      <c r="C37" s="32">
        <f>INDEX(IDR_Time,MATCH("T13",IDR_ID,0))*SD_Chunk/512/1000</f>
        <v>2.7626666666666666</v>
      </c>
      <c r="D37" s="13" t="s">
        <v>734</v>
      </c>
    </row>
    <row r="38" spans="1:4" x14ac:dyDescent="0.3">
      <c r="A38" s="13" t="s">
        <v>735</v>
      </c>
      <c r="B38" s="13" t="s">
        <v>736</v>
      </c>
      <c r="C38" s="31">
        <v>0.6</v>
      </c>
      <c r="D38" s="13" t="s">
        <v>737</v>
      </c>
    </row>
    <row r="39" spans="1:4" x14ac:dyDescent="0.3">
      <c r="A39" s="13" t="s">
        <v>735</v>
      </c>
      <c r="B39" s="13" t="s">
        <v>738</v>
      </c>
      <c r="C39" s="32">
        <f>INDEX(IDR_Time,MATCH("T05",IDR_ID,0))/1000</f>
        <v>1.4999999999999999E-2</v>
      </c>
      <c r="D39" s="13"/>
    </row>
    <row r="40" spans="1:4" x14ac:dyDescent="0.3">
      <c r="A40" s="13" t="s">
        <v>735</v>
      </c>
      <c r="B40" s="13" t="s">
        <v>739</v>
      </c>
      <c r="C40" s="32">
        <f>LoopUs/1000</f>
        <v>1</v>
      </c>
      <c r="D40" s="13"/>
    </row>
    <row r="41" spans="1:4" x14ac:dyDescent="0.3">
      <c r="A41" s="13" t="s">
        <v>735</v>
      </c>
      <c r="B41" s="13" t="s">
        <v>740</v>
      </c>
      <c r="C41" s="32">
        <f>INDEX(IDR_Time,MATCH("T04",IDR_ID,0))/1000</f>
        <v>0.13800000000000001</v>
      </c>
      <c r="D41" s="13"/>
    </row>
    <row r="42" spans="1:4" ht="79.2" x14ac:dyDescent="0.3">
      <c r="A42" s="13" t="s">
        <v>741</v>
      </c>
      <c r="B42" s="13" t="s">
        <v>742</v>
      </c>
      <c r="C42" s="31">
        <v>50</v>
      </c>
      <c r="D42" s="13" t="s">
        <v>743</v>
      </c>
    </row>
    <row r="43" spans="1:4" ht="39.6" x14ac:dyDescent="0.3">
      <c r="A43" s="13" t="s">
        <v>741</v>
      </c>
      <c r="B43" s="13" t="s">
        <v>744</v>
      </c>
      <c r="C43" s="32">
        <f>1000/(4*GpsHz)</f>
        <v>25</v>
      </c>
      <c r="D43" s="13" t="s">
        <v>745</v>
      </c>
    </row>
    <row r="44" spans="1:4" x14ac:dyDescent="0.3">
      <c r="A44" s="13" t="s">
        <v>741</v>
      </c>
      <c r="B44" s="13" t="s">
        <v>746</v>
      </c>
      <c r="C44" s="32">
        <f>INDEX(IDR_Time,MATCH("T12",IDR_ID,0))/1000</f>
        <v>2.33</v>
      </c>
      <c r="D44" s="13"/>
    </row>
    <row r="45" spans="1:4" x14ac:dyDescent="0.3">
      <c r="A45" s="13" t="s">
        <v>741</v>
      </c>
      <c r="B45" s="13" t="s">
        <v>747</v>
      </c>
      <c r="C45" s="32">
        <f>LoopUs/1000+INDEX(IDR_Time,MATCH("T10",IDR_ID,0))/1000</f>
        <v>1.56</v>
      </c>
      <c r="D45" s="13"/>
    </row>
    <row r="47" spans="1:4" ht="42" customHeight="1" x14ac:dyDescent="0.3">
      <c r="A47" s="12" t="s">
        <v>724</v>
      </c>
      <c r="B47" s="12" t="s">
        <v>748</v>
      </c>
      <c r="C47" s="12" t="s">
        <v>749</v>
      </c>
      <c r="D47" s="12" t="s">
        <v>41</v>
      </c>
    </row>
    <row r="48" spans="1:4" x14ac:dyDescent="0.3">
      <c r="A48" s="13" t="s">
        <v>726</v>
      </c>
      <c r="B48" s="31">
        <f>SUMIFS($C$32:$C$45,$A$32:$A$45,A48)</f>
        <v>82.773011828935395</v>
      </c>
      <c r="C48" s="67">
        <v>200</v>
      </c>
      <c r="D48" s="13" t="str">
        <f>IF(B48&lt;=C48,"OK","OVER")</f>
        <v>OK</v>
      </c>
    </row>
    <row r="49" spans="1:4" x14ac:dyDescent="0.3">
      <c r="A49" s="13" t="s">
        <v>735</v>
      </c>
      <c r="B49" s="31">
        <f>SUMIFS($C$32:$C$45,$A$32:$A$45,A49)</f>
        <v>1.7530000000000001</v>
      </c>
      <c r="C49" s="67">
        <v>5</v>
      </c>
      <c r="D49" s="13" t="str">
        <f>IF(B49&lt;=C49,"OK","OVER")</f>
        <v>OK</v>
      </c>
    </row>
    <row r="50" spans="1:4" x14ac:dyDescent="0.3">
      <c r="A50" s="13" t="s">
        <v>741</v>
      </c>
      <c r="B50" s="31">
        <f>SUMIFS($C$32:$C$45,$A$32:$A$45,A50)</f>
        <v>78.89</v>
      </c>
      <c r="C50" s="67">
        <v>150</v>
      </c>
      <c r="D50" s="13" t="str">
        <f>IF(B50&lt;=C50,"OK","OVER")</f>
        <v>OK</v>
      </c>
    </row>
  </sheetData>
  <conditionalFormatting sqref="D48:D50">
    <cfRule type="expression" dxfId="44" priority="5">
      <formula>OR(LEFT(D48,8)="CONFLICT",LEFT(D48,7)="EXCEEDS",LEFT(D48,4)="OVER",LEFT(D48,5)="LIMIT",LEFT(D48,7)="INVALID",LEFT(D48,9)="VIOLATION",LEFT(D48,8)="BAUD ERR",LEFT(D48,4)="HIGH",LEFT(D48,5)="BELOW",LEFT(D48,4)="FAIL",LEFT(D48,7)="TOO BIG")</formula>
    </cfRule>
    <cfRule type="expression" dxfId="43" priority="6">
      <formula>OR(LEFT(D48,8)="MARGINAL",LEFT(D48,3)="MED",LEFT(D48,5)="CHECK",LEFT(D48,3)="TL:")</formula>
    </cfRule>
    <cfRule type="expression" dxfId="42" priority="7">
      <formula>LEFT(D48,2)="OK"</formula>
    </cfRule>
  </conditionalFormatting>
  <conditionalFormatting sqref="L14:L17">
    <cfRule type="expression" dxfId="41" priority="2">
      <formula>OR(LEFT(L14,8)="CONFLICT",LEFT(L14,7)="EXCEEDS",LEFT(L14,4)="OVER",LEFT(L14,5)="LIMIT",LEFT(L14,7)="INVALID",LEFT(L14,9)="VIOLATION",LEFT(L14,8)="BAUD ERR",LEFT(L14,4)="HIGH",LEFT(L14,5)="BELOW",LEFT(L14,4)="FAIL",LEFT(L14,7)="TOO BIG")</formula>
    </cfRule>
    <cfRule type="expression" dxfId="40" priority="3">
      <formula>OR(LEFT(L14,8)="MARGINAL",LEFT(L14,3)="MED",LEFT(L14,5)="CHECK",LEFT(L14,3)="TL:")</formula>
    </cfRule>
    <cfRule type="expression" dxfId="39" priority="4">
      <formula>LEFT(L14,2)="OK"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N29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5" width="10" customWidth="1"/>
    <col min="6" max="6" width="12" customWidth="1"/>
    <col min="7" max="7" width="11" customWidth="1"/>
    <col min="8" max="12" width="10" customWidth="1"/>
    <col min="13" max="13" width="50" customWidth="1"/>
  </cols>
  <sheetData>
    <row r="1" spans="1:14" ht="17.399999999999999" x14ac:dyDescent="0.3">
      <c r="A1" s="1" t="s">
        <v>750</v>
      </c>
    </row>
    <row r="2" spans="1:14" x14ac:dyDescent="0.3">
      <c r="A2" s="2" t="s">
        <v>751</v>
      </c>
    </row>
    <row r="3" spans="1:14" x14ac:dyDescent="0.3">
      <c r="A3" s="2" t="s">
        <v>2</v>
      </c>
    </row>
    <row r="5" spans="1:14" x14ac:dyDescent="0.3">
      <c r="A5" s="3" t="s">
        <v>752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42" customHeight="1" x14ac:dyDescent="0.3">
      <c r="A6" s="12" t="s">
        <v>689</v>
      </c>
      <c r="B6" s="12" t="s">
        <v>753</v>
      </c>
      <c r="C6" s="12" t="s">
        <v>754</v>
      </c>
      <c r="D6" s="12" t="s">
        <v>755</v>
      </c>
      <c r="E6" s="12" t="s">
        <v>756</v>
      </c>
      <c r="F6" s="12" t="s">
        <v>757</v>
      </c>
      <c r="G6" s="12" t="s">
        <v>758</v>
      </c>
      <c r="H6" s="12" t="s">
        <v>759</v>
      </c>
      <c r="I6" s="12" t="s">
        <v>760</v>
      </c>
      <c r="J6" s="12" t="s">
        <v>761</v>
      </c>
      <c r="K6" s="12" t="s">
        <v>762</v>
      </c>
      <c r="L6" s="12" t="s">
        <v>41</v>
      </c>
      <c r="M6" s="12" t="s">
        <v>42</v>
      </c>
    </row>
    <row r="7" spans="1:14" ht="26.4" x14ac:dyDescent="0.3">
      <c r="A7" s="13" t="s">
        <v>763</v>
      </c>
      <c r="B7" s="25">
        <v>15</v>
      </c>
      <c r="C7" s="67">
        <v>6.2</v>
      </c>
      <c r="D7" s="67">
        <v>1.5</v>
      </c>
      <c r="E7" s="68">
        <f>D7*1000/(6*C7)</f>
        <v>40.322580645161288</v>
      </c>
      <c r="F7" s="13" t="str">
        <f>IF(B7&lt;=E7,"Lumped","TL: terminate")</f>
        <v>Lumped</v>
      </c>
      <c r="G7" s="27">
        <f>INDEX(AL_Bit,MATCH("B1-SPI2",AL_ID,0))</f>
        <v>8000000</v>
      </c>
      <c r="H7" s="30">
        <f>1000000000/(2*G7)</f>
        <v>62.5</v>
      </c>
      <c r="I7" s="46">
        <f>2*B7*C7/1000</f>
        <v>0.186</v>
      </c>
      <c r="J7" s="46">
        <f>3*I7</f>
        <v>0.55800000000000005</v>
      </c>
      <c r="K7" s="33">
        <f>J7/H7</f>
        <v>8.9280000000000002E-3</v>
      </c>
      <c r="L7" s="13" t="str">
        <f>IF(K7&lt;=0.2,"OK",IF(K7&lt;=0.4,"MARGINAL","FAIL"))</f>
        <v>OK</v>
      </c>
      <c r="M7" s="13" t="s">
        <v>764</v>
      </c>
    </row>
    <row r="8" spans="1:14" x14ac:dyDescent="0.3">
      <c r="A8" s="13" t="s">
        <v>765</v>
      </c>
      <c r="B8" s="25">
        <v>37</v>
      </c>
      <c r="C8" s="67">
        <v>6.2</v>
      </c>
      <c r="D8" s="67">
        <v>3</v>
      </c>
      <c r="E8" s="68">
        <f>D8*1000/(6*C8)</f>
        <v>80.645161290322577</v>
      </c>
      <c r="F8" s="13" t="str">
        <f>IF(B8&lt;=E8,"Lumped","TL: terminate")</f>
        <v>Lumped</v>
      </c>
      <c r="G8" s="27">
        <f>INDEX(AL_Bit,MATCH("B1-SPI1",AL_ID,0))</f>
        <v>2000000</v>
      </c>
      <c r="H8" s="30">
        <f>1000000000/(2*G8)</f>
        <v>250</v>
      </c>
      <c r="I8" s="46">
        <f>2*B8*C8/1000</f>
        <v>0.45879999999999999</v>
      </c>
      <c r="J8" s="46">
        <f>3*I8</f>
        <v>1.3763999999999998</v>
      </c>
      <c r="K8" s="33">
        <f>J8/H8</f>
        <v>5.5055999999999994E-3</v>
      </c>
      <c r="L8" s="13" t="str">
        <f>IF(K8&lt;=0.2,"OK",IF(K8&lt;=0.4,"MARGINAL","FAIL"))</f>
        <v>OK</v>
      </c>
      <c r="M8" s="13" t="s">
        <v>766</v>
      </c>
    </row>
    <row r="9" spans="1:14" x14ac:dyDescent="0.3">
      <c r="A9" s="13" t="s">
        <v>767</v>
      </c>
      <c r="B9" s="25">
        <v>15</v>
      </c>
      <c r="C9" s="67">
        <v>6.2</v>
      </c>
      <c r="D9" s="67">
        <v>1.5</v>
      </c>
      <c r="E9" s="68">
        <f>D9*1000/(6*C9)</f>
        <v>40.322580645161288</v>
      </c>
      <c r="F9" s="13" t="str">
        <f>IF(B9&lt;=E9,"Lumped","TL: terminate")</f>
        <v>Lumped</v>
      </c>
      <c r="G9" s="27">
        <f>INDEX(AL_Bit,MATCH("B2-SPI2",AL_ID,0))</f>
        <v>8000000</v>
      </c>
      <c r="H9" s="30">
        <f>1000000000/(2*G9)</f>
        <v>62.5</v>
      </c>
      <c r="I9" s="46">
        <f>2*B9*C9/1000</f>
        <v>0.186</v>
      </c>
      <c r="J9" s="46">
        <f>3*I9</f>
        <v>0.55800000000000005</v>
      </c>
      <c r="K9" s="33">
        <f>J9/H9</f>
        <v>8.9280000000000002E-3</v>
      </c>
      <c r="L9" s="13" t="str">
        <f>IF(K9&lt;=0.2,"OK",IF(K9&lt;=0.4,"MARGINAL","FAIL"))</f>
        <v>OK</v>
      </c>
      <c r="M9" s="13"/>
    </row>
    <row r="10" spans="1:14" x14ac:dyDescent="0.3">
      <c r="A10" s="13" t="s">
        <v>768</v>
      </c>
      <c r="B10" s="25">
        <v>37</v>
      </c>
      <c r="C10" s="67">
        <v>6.2</v>
      </c>
      <c r="D10" s="67">
        <v>3</v>
      </c>
      <c r="E10" s="68">
        <f>D10*1000/(6*C10)</f>
        <v>80.645161290322577</v>
      </c>
      <c r="F10" s="13" t="str">
        <f>IF(B10&lt;=E10,"Lumped","TL: terminate")</f>
        <v>Lumped</v>
      </c>
      <c r="G10" s="27">
        <f>INDEX(AL_Bit,MATCH("B1-UART4",AL_ID,0))</f>
        <v>1000000</v>
      </c>
      <c r="H10" s="30">
        <f>1000000000/(2*G10)</f>
        <v>500</v>
      </c>
      <c r="I10" s="46">
        <f>2*B10*C10/1000</f>
        <v>0.45879999999999999</v>
      </c>
      <c r="J10" s="46">
        <f>3*I10</f>
        <v>1.3763999999999998</v>
      </c>
      <c r="K10" s="33">
        <f>J10/H10</f>
        <v>2.7527999999999997E-3</v>
      </c>
      <c r="L10" s="13" t="str">
        <f>IF(K10&lt;=0.2,"OK",IF(K10&lt;=0.4,"MARGINAL","FAIL"))</f>
        <v>OK</v>
      </c>
      <c r="M10" s="13"/>
    </row>
    <row r="11" spans="1:14" ht="39.6" x14ac:dyDescent="0.3">
      <c r="A11" s="13" t="s">
        <v>769</v>
      </c>
      <c r="B11" s="25">
        <v>650</v>
      </c>
      <c r="C11" s="67">
        <v>5.05</v>
      </c>
      <c r="D11" s="67">
        <v>15</v>
      </c>
      <c r="E11" s="68">
        <f>D11*1000/(6*C11)</f>
        <v>495.04950495049508</v>
      </c>
      <c r="F11" s="13" t="str">
        <f>IF(B11&lt;=E11,"Lumped","TL: terminate")</f>
        <v>TL: terminate</v>
      </c>
      <c r="G11" s="27">
        <f>INDEX(AL_Bit,MATCH("B1-USART1",AL_ID,0))</f>
        <v>1000000</v>
      </c>
      <c r="H11" s="30">
        <f>1000000000/(2*G11)</f>
        <v>500</v>
      </c>
      <c r="I11" s="46">
        <f>2*B11*C11/1000</f>
        <v>6.5650000000000004</v>
      </c>
      <c r="J11" s="46">
        <f>3*I11</f>
        <v>19.695</v>
      </c>
      <c r="K11" s="33">
        <f>J11/H11</f>
        <v>3.9390000000000001E-2</v>
      </c>
      <c r="L11" s="13" t="str">
        <f>IF(K11&lt;=0.2,"OK",IF(K11&lt;=0.4,"MARGINAL","FAIL"))</f>
        <v>OK</v>
      </c>
      <c r="M11" s="13" t="s">
        <v>770</v>
      </c>
    </row>
    <row r="13" spans="1:14" x14ac:dyDescent="0.3">
      <c r="A13" s="3" t="s">
        <v>771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42" customHeight="1" x14ac:dyDescent="0.3">
      <c r="A14" s="12" t="s">
        <v>689</v>
      </c>
      <c r="B14" s="12" t="s">
        <v>753</v>
      </c>
      <c r="C14" s="12" t="s">
        <v>754</v>
      </c>
      <c r="D14" s="12" t="s">
        <v>772</v>
      </c>
      <c r="E14" s="12" t="s">
        <v>773</v>
      </c>
      <c r="F14" s="12" t="s">
        <v>774</v>
      </c>
      <c r="G14" s="12" t="s">
        <v>775</v>
      </c>
      <c r="H14" s="12" t="s">
        <v>520</v>
      </c>
      <c r="I14" s="12" t="s">
        <v>41</v>
      </c>
      <c r="J14" s="12" t="s">
        <v>42</v>
      </c>
    </row>
    <row r="15" spans="1:14" ht="118.8" x14ac:dyDescent="0.3">
      <c r="A15" s="13" t="s">
        <v>763</v>
      </c>
      <c r="B15" s="18">
        <f t="shared" ref="B15:C17" si="0">B7</f>
        <v>15</v>
      </c>
      <c r="C15" s="68">
        <f t="shared" si="0"/>
        <v>6.2</v>
      </c>
      <c r="D15" s="67">
        <v>50</v>
      </c>
      <c r="E15" s="67">
        <v>5</v>
      </c>
      <c r="F15" s="21">
        <f>1/(2*((2*B15*C15)*0.000000000001+D15*0.000000001+E15*0.000000001))</f>
        <v>9060268.9087812118</v>
      </c>
      <c r="G15" s="27">
        <f>INDEX(AL_Bit,MATCH("B1-SPI2",AL_ID,0))</f>
        <v>8000000</v>
      </c>
      <c r="H15" s="33">
        <f>1-G15/F15</f>
        <v>0.11702399999999991</v>
      </c>
      <c r="I15" s="13" t="str">
        <f>IF(H15&gt;=0.2,"OK",IF(H15&gt;=0,"MARGINAL","FAIL"))</f>
        <v>MARGINAL</v>
      </c>
      <c r="J15" s="13" t="s">
        <v>776</v>
      </c>
    </row>
    <row r="16" spans="1:14" ht="105.6" x14ac:dyDescent="0.3">
      <c r="A16" s="13" t="s">
        <v>777</v>
      </c>
      <c r="B16" s="18">
        <f t="shared" si="0"/>
        <v>37</v>
      </c>
      <c r="C16" s="68">
        <f t="shared" si="0"/>
        <v>6.2</v>
      </c>
      <c r="D16" s="67">
        <v>30</v>
      </c>
      <c r="E16" s="67">
        <v>5</v>
      </c>
      <c r="F16" s="21">
        <f>1/(2*((2*B16*C16)*0.000000000001+D16*0.000000001+E16*0.000000001))</f>
        <v>14100871.99792435</v>
      </c>
      <c r="G16" s="27">
        <f>INDEX(AL_Bit,MATCH("B1-SPI1",AL_ID,0))</f>
        <v>2000000</v>
      </c>
      <c r="H16" s="33">
        <f>1-G16/F16</f>
        <v>0.85816479999999995</v>
      </c>
      <c r="I16" s="13" t="str">
        <f>IF(H16&gt;=0.2,"OK",IF(H16&gt;=0,"MARGINAL","FAIL"))</f>
        <v>OK</v>
      </c>
      <c r="J16" s="13" t="s">
        <v>778</v>
      </c>
    </row>
    <row r="17" spans="1:14" ht="79.2" x14ac:dyDescent="0.3">
      <c r="A17" s="13" t="s">
        <v>767</v>
      </c>
      <c r="B17" s="18">
        <f t="shared" si="0"/>
        <v>15</v>
      </c>
      <c r="C17" s="68">
        <f t="shared" si="0"/>
        <v>6.2</v>
      </c>
      <c r="D17" s="67">
        <v>25</v>
      </c>
      <c r="E17" s="67">
        <v>5</v>
      </c>
      <c r="F17" s="21">
        <f>1/(2*((2*B17*C17)*0.000000000001+D17*0.000000001+E17*0.000000001))</f>
        <v>16563970.052342143</v>
      </c>
      <c r="G17" s="27">
        <f>INDEX(AL_Bit,MATCH("B2-SPI2",AL_ID,0))</f>
        <v>8000000</v>
      </c>
      <c r="H17" s="33">
        <f>1-G17/F17</f>
        <v>0.51702399999999993</v>
      </c>
      <c r="I17" s="13" t="str">
        <f>IF(H17&gt;=0.2,"OK",IF(H17&gt;=0,"MARGINAL","FAIL"))</f>
        <v>OK</v>
      </c>
      <c r="J17" s="13" t="s">
        <v>779</v>
      </c>
    </row>
    <row r="19" spans="1:14" x14ac:dyDescent="0.3">
      <c r="A19" s="3" t="s">
        <v>780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42" customHeight="1" x14ac:dyDescent="0.3">
      <c r="A20" s="12" t="s">
        <v>781</v>
      </c>
      <c r="B20" s="12" t="s">
        <v>782</v>
      </c>
      <c r="C20" s="12" t="s">
        <v>783</v>
      </c>
      <c r="D20" s="12" t="s">
        <v>784</v>
      </c>
      <c r="E20" s="12" t="s">
        <v>785</v>
      </c>
      <c r="F20" s="12" t="s">
        <v>786</v>
      </c>
      <c r="G20" s="12" t="s">
        <v>787</v>
      </c>
      <c r="H20" s="12" t="s">
        <v>788</v>
      </c>
      <c r="I20" s="12" t="s">
        <v>41</v>
      </c>
      <c r="J20" s="12" t="s">
        <v>42</v>
      </c>
    </row>
    <row r="21" spans="1:14" ht="66" x14ac:dyDescent="0.3">
      <c r="A21" s="13" t="s">
        <v>789</v>
      </c>
      <c r="B21" s="27">
        <f>Rp_B1</f>
        <v>2700</v>
      </c>
      <c r="C21" s="16">
        <v>50</v>
      </c>
      <c r="D21" s="69">
        <f>Vrail</f>
        <v>3.3</v>
      </c>
      <c r="E21" s="18">
        <f>0.8473*B21*C21*0.001</f>
        <v>114.38550000000001</v>
      </c>
      <c r="F21" s="26">
        <f>IF(INDEX(AL_Bit,MATCH("B1-I2C1",AL_ID,0))&gt;100000,300,1000)</f>
        <v>300</v>
      </c>
      <c r="G21" s="21">
        <f>(D21-0.4)/0.003</f>
        <v>966.66666666666663</v>
      </c>
      <c r="H21" s="21">
        <f>F21/(0.8473*C21*0.001)</f>
        <v>7081.3171249852476</v>
      </c>
      <c r="I21" s="13" t="str">
        <f>IF(AND(E21&lt;=F21,B21&gt;=G21),"OK","FAIL")</f>
        <v>OK</v>
      </c>
      <c r="J21" s="13" t="s">
        <v>790</v>
      </c>
    </row>
    <row r="22" spans="1:14" x14ac:dyDescent="0.3">
      <c r="A22" s="13" t="s">
        <v>791</v>
      </c>
      <c r="B22" s="27">
        <f>Rp_B3</f>
        <v>4700</v>
      </c>
      <c r="C22" s="16">
        <v>50</v>
      </c>
      <c r="D22" s="69">
        <f>Vrail</f>
        <v>3.3</v>
      </c>
      <c r="E22" s="18">
        <f>0.8473*B22*C22*0.001</f>
        <v>199.11550000000003</v>
      </c>
      <c r="F22" s="26">
        <f>IF(INDEX(AL_Bit,MATCH("B3-I2C1",AL_ID,0))&gt;100000,300,1000)</f>
        <v>300</v>
      </c>
      <c r="G22" s="21">
        <f>(D22-0.4)/0.003</f>
        <v>966.66666666666663</v>
      </c>
      <c r="H22" s="21">
        <f>F22/(0.8473*C22*0.001)</f>
        <v>7081.3171249852476</v>
      </c>
      <c r="I22" s="13" t="str">
        <f>IF(AND(E22&lt;=F22,B22&gt;=G22),"OK","FAIL")</f>
        <v>OK</v>
      </c>
      <c r="J22" s="13"/>
    </row>
    <row r="24" spans="1:14" x14ac:dyDescent="0.3">
      <c r="A24" s="3" t="s">
        <v>792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42" customHeight="1" x14ac:dyDescent="0.3">
      <c r="A25" s="12" t="s">
        <v>793</v>
      </c>
      <c r="B25" s="12" t="s">
        <v>794</v>
      </c>
      <c r="C25" s="12" t="s">
        <v>795</v>
      </c>
      <c r="D25" s="12" t="s">
        <v>796</v>
      </c>
      <c r="E25" s="12" t="s">
        <v>797</v>
      </c>
      <c r="F25" s="12" t="s">
        <v>798</v>
      </c>
      <c r="G25" s="12" t="s">
        <v>799</v>
      </c>
      <c r="H25" s="12" t="s">
        <v>800</v>
      </c>
      <c r="I25" s="12" t="s">
        <v>801</v>
      </c>
      <c r="J25" s="12" t="s">
        <v>41</v>
      </c>
      <c r="K25" s="12" t="s">
        <v>42</v>
      </c>
    </row>
    <row r="26" spans="1:14" ht="158.4" x14ac:dyDescent="0.3">
      <c r="A26" s="13" t="s">
        <v>802</v>
      </c>
      <c r="B26" s="69">
        <f>RS_Vod</f>
        <v>2</v>
      </c>
      <c r="C26" s="16">
        <v>100</v>
      </c>
      <c r="D26" s="18">
        <f>4*C26</f>
        <v>400</v>
      </c>
      <c r="E26" s="16">
        <v>0</v>
      </c>
      <c r="F26" s="68">
        <f>IF(E26=0,12000,1/(1/12000+E26/120))</f>
        <v>12000</v>
      </c>
      <c r="G26" s="31">
        <f>B26*F26/(F26+D26)</f>
        <v>1.935483870967742</v>
      </c>
      <c r="H26" s="70">
        <v>0.2</v>
      </c>
      <c r="I26" s="68">
        <f>G26/H26</f>
        <v>9.67741935483871</v>
      </c>
      <c r="J26" s="13" t="str">
        <f>IF(I26&gt;=3,"OK",IF(I26&gt;=1.5,"MARGINAL","FAIL"))</f>
        <v>OK</v>
      </c>
      <c r="K26" s="13" t="s">
        <v>803</v>
      </c>
    </row>
    <row r="27" spans="1:14" ht="52.8" x14ac:dyDescent="0.3">
      <c r="A27" s="13" t="s">
        <v>804</v>
      </c>
      <c r="B27" s="69">
        <f>RS_Vod</f>
        <v>2</v>
      </c>
      <c r="C27" s="16">
        <v>100</v>
      </c>
      <c r="D27" s="18">
        <f>4*C27</f>
        <v>400</v>
      </c>
      <c r="E27" s="16">
        <v>1</v>
      </c>
      <c r="F27" s="68">
        <f>IF(E27=0,12000,1/(1/12000+E27/120))</f>
        <v>118.81188118811882</v>
      </c>
      <c r="G27" s="31">
        <f>B27*F27/(F27+D27)</f>
        <v>0.4580152671755725</v>
      </c>
      <c r="H27" s="70">
        <v>0.2</v>
      </c>
      <c r="I27" s="68">
        <f>G27/H27</f>
        <v>2.2900763358778624</v>
      </c>
      <c r="J27" s="13" t="str">
        <f>IF(I27&gt;=3,"OK",IF(I27&gt;=1.5,"MARGINAL","FAIL"))</f>
        <v>MARGINAL</v>
      </c>
      <c r="K27" s="13" t="s">
        <v>805</v>
      </c>
    </row>
    <row r="28" spans="1:14" ht="66" x14ac:dyDescent="0.3">
      <c r="A28" s="13" t="s">
        <v>806</v>
      </c>
      <c r="B28" s="69">
        <f>RS_Vod</f>
        <v>2</v>
      </c>
      <c r="C28" s="16">
        <v>100</v>
      </c>
      <c r="D28" s="18">
        <f>4*C28</f>
        <v>400</v>
      </c>
      <c r="E28" s="16">
        <v>2</v>
      </c>
      <c r="F28" s="68">
        <f>IF(E28=0,12000,1/(1/12000+E28/120))</f>
        <v>59.701492537313428</v>
      </c>
      <c r="G28" s="31">
        <f>B28*F28/(F28+D28)</f>
        <v>0.25974025974025972</v>
      </c>
      <c r="H28" s="70">
        <v>0.2</v>
      </c>
      <c r="I28" s="68">
        <f>G28/H28</f>
        <v>1.2987012987012985</v>
      </c>
      <c r="J28" s="13" t="str">
        <f>IF(I28&gt;=3,"OK",IF(I28&gt;=1.5,"MARGINAL","FAIL"))</f>
        <v>FAIL</v>
      </c>
      <c r="K28" s="13" t="s">
        <v>807</v>
      </c>
    </row>
    <row r="29" spans="1:14" ht="158.4" x14ac:dyDescent="0.3">
      <c r="A29" s="13" t="s">
        <v>808</v>
      </c>
      <c r="B29" s="69">
        <f>RS_Vod</f>
        <v>2</v>
      </c>
      <c r="C29" s="16">
        <v>10</v>
      </c>
      <c r="D29" s="18">
        <f>4*C29</f>
        <v>40</v>
      </c>
      <c r="E29" s="16">
        <v>2</v>
      </c>
      <c r="F29" s="68">
        <f>IF(E29=0,12000,1/(1/12000+E29/120))</f>
        <v>59.701492537313428</v>
      </c>
      <c r="G29" s="31">
        <f>B29*F29/(F29+D29)</f>
        <v>1.1976047904191616</v>
      </c>
      <c r="H29" s="70">
        <v>0.2</v>
      </c>
      <c r="I29" s="68">
        <f>G29/H29</f>
        <v>5.9880239520958076</v>
      </c>
      <c r="J29" s="13" t="str">
        <f>IF(I29&gt;=3,"OK",IF(I29&gt;=1.5,"MARGINAL","FAIL"))</f>
        <v>OK</v>
      </c>
      <c r="K29" s="13" t="s">
        <v>809</v>
      </c>
    </row>
  </sheetData>
  <conditionalFormatting sqref="F7:F11">
    <cfRule type="expression" dxfId="38" priority="2">
      <formula>OR(LEFT(F7,8)="CONFLICT",LEFT(F7,7)="EXCEEDS",LEFT(F7,4)="OVER",LEFT(F7,5)="LIMIT",LEFT(F7,7)="INVALID",LEFT(F7,9)="VIOLATION",LEFT(F7,8)="BAUD ERR",LEFT(F7,4)="HIGH",LEFT(F7,5)="BELOW",LEFT(F7,4)="FAIL",LEFT(F7,7)="TOO BIG")</formula>
    </cfRule>
    <cfRule type="expression" dxfId="37" priority="3">
      <formula>OR(LEFT(F7,8)="MARGINAL",LEFT(F7,3)="MED",LEFT(F7,5)="CHECK",LEFT(F7,3)="TL:")</formula>
    </cfRule>
    <cfRule type="expression" dxfId="36" priority="4">
      <formula>LEFT(F7,2)="OK"</formula>
    </cfRule>
  </conditionalFormatting>
  <conditionalFormatting sqref="I15:I17">
    <cfRule type="expression" dxfId="35" priority="8">
      <formula>OR(LEFT(I15,8)="CONFLICT",LEFT(I15,7)="EXCEEDS",LEFT(I15,4)="OVER",LEFT(I15,5)="LIMIT",LEFT(I15,7)="INVALID",LEFT(I15,9)="VIOLATION",LEFT(I15,8)="BAUD ERR",LEFT(I15,4)="HIGH",LEFT(I15,5)="BELOW",LEFT(I15,4)="FAIL",LEFT(I15,7)="TOO BIG")</formula>
    </cfRule>
    <cfRule type="expression" dxfId="34" priority="9">
      <formula>OR(LEFT(I15,8)="MARGINAL",LEFT(I15,3)="MED",LEFT(I15,5)="CHECK",LEFT(I15,3)="TL:")</formula>
    </cfRule>
    <cfRule type="expression" dxfId="33" priority="10">
      <formula>LEFT(I15,2)="OK"</formula>
    </cfRule>
  </conditionalFormatting>
  <conditionalFormatting sqref="I21:I22">
    <cfRule type="expression" dxfId="32" priority="11">
      <formula>OR(LEFT(I21,8)="CONFLICT",LEFT(I21,7)="EXCEEDS",LEFT(I21,4)="OVER",LEFT(I21,5)="LIMIT",LEFT(I21,7)="INVALID",LEFT(I21,9)="VIOLATION",LEFT(I21,8)="BAUD ERR",LEFT(I21,4)="HIGH",LEFT(I21,5)="BELOW",LEFT(I21,4)="FAIL",LEFT(I21,7)="TOO BIG")</formula>
    </cfRule>
    <cfRule type="expression" dxfId="31" priority="12">
      <formula>OR(LEFT(I21,8)="MARGINAL",LEFT(I21,3)="MED",LEFT(I21,5)="CHECK",LEFT(I21,3)="TL:")</formula>
    </cfRule>
    <cfRule type="expression" dxfId="30" priority="13">
      <formula>LEFT(I21,2)="OK"</formula>
    </cfRule>
  </conditionalFormatting>
  <conditionalFormatting sqref="J26:J29">
    <cfRule type="expression" dxfId="29" priority="14">
      <formula>OR(LEFT(J26,8)="CONFLICT",LEFT(J26,7)="EXCEEDS",LEFT(J26,4)="OVER",LEFT(J26,5)="LIMIT",LEFT(J26,7)="INVALID",LEFT(J26,9)="VIOLATION",LEFT(J26,8)="BAUD ERR",LEFT(J26,4)="HIGH",LEFT(J26,5)="BELOW",LEFT(J26,4)="FAIL",LEFT(J26,7)="TOO BIG")</formula>
    </cfRule>
    <cfRule type="expression" dxfId="28" priority="15">
      <formula>OR(LEFT(J26,8)="MARGINAL",LEFT(J26,3)="MED",LEFT(J26,5)="CHECK",LEFT(J26,3)="TL:")</formula>
    </cfRule>
    <cfRule type="expression" dxfId="27" priority="16">
      <formula>LEFT(J26,2)="OK"</formula>
    </cfRule>
  </conditionalFormatting>
  <conditionalFormatting sqref="L7:L11">
    <cfRule type="expression" dxfId="26" priority="5">
      <formula>OR(LEFT(L7,8)="CONFLICT",LEFT(L7,7)="EXCEEDS",LEFT(L7,4)="OVER",LEFT(L7,5)="LIMIT",LEFT(L7,7)="INVALID",LEFT(L7,9)="VIOLATION",LEFT(L7,8)="BAUD ERR",LEFT(L7,4)="HIGH",LEFT(L7,5)="BELOW",LEFT(L7,4)="FAIL",LEFT(L7,7)="TOO BIG")</formula>
    </cfRule>
    <cfRule type="expression" dxfId="25" priority="6">
      <formula>OR(LEFT(L7,8)="MARGINAL",LEFT(L7,3)="MED",LEFT(L7,5)="CHECK",LEFT(L7,3)="TL:")</formula>
    </cfRule>
    <cfRule type="expression" dxfId="24" priority="7">
      <formula>LEFT(L7,2)="OK"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J39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2" width="10" customWidth="1"/>
    <col min="3" max="3" width="12" customWidth="1"/>
    <col min="4" max="7" width="10" customWidth="1"/>
    <col min="8" max="8" width="12" customWidth="1"/>
    <col min="9" max="9" width="10" customWidth="1"/>
    <col min="10" max="10" width="50" customWidth="1"/>
  </cols>
  <sheetData>
    <row r="1" spans="1:8" ht="17.399999999999999" x14ac:dyDescent="0.3">
      <c r="A1" s="1" t="s">
        <v>810</v>
      </c>
    </row>
    <row r="2" spans="1:8" x14ac:dyDescent="0.3">
      <c r="A2" s="2" t="s">
        <v>811</v>
      </c>
    </row>
    <row r="3" spans="1:8" x14ac:dyDescent="0.3">
      <c r="A3" s="2" t="s">
        <v>2</v>
      </c>
    </row>
    <row r="5" spans="1:8" x14ac:dyDescent="0.3">
      <c r="A5" s="3" t="s">
        <v>812</v>
      </c>
      <c r="B5" s="4"/>
      <c r="C5" s="4"/>
      <c r="D5" s="4"/>
      <c r="E5" s="4"/>
      <c r="F5" s="4"/>
      <c r="G5" s="4"/>
      <c r="H5" s="4"/>
    </row>
    <row r="6" spans="1:8" x14ac:dyDescent="0.3">
      <c r="A6" s="5" t="s">
        <v>813</v>
      </c>
      <c r="D6" s="39">
        <v>-130</v>
      </c>
      <c r="E6" s="7" t="s">
        <v>814</v>
      </c>
      <c r="F6" s="2" t="s">
        <v>815</v>
      </c>
    </row>
    <row r="7" spans="1:8" x14ac:dyDescent="0.3">
      <c r="A7" s="5" t="s">
        <v>816</v>
      </c>
      <c r="D7" s="39">
        <v>2</v>
      </c>
      <c r="E7" s="7" t="s">
        <v>817</v>
      </c>
      <c r="F7" s="2" t="s">
        <v>818</v>
      </c>
    </row>
    <row r="8" spans="1:8" x14ac:dyDescent="0.3">
      <c r="A8" s="5" t="s">
        <v>819</v>
      </c>
      <c r="D8" s="39">
        <v>28</v>
      </c>
      <c r="E8" s="7" t="s">
        <v>820</v>
      </c>
      <c r="F8" s="2" t="s">
        <v>821</v>
      </c>
    </row>
    <row r="9" spans="1:8" x14ac:dyDescent="0.3">
      <c r="A9" s="5" t="s">
        <v>822</v>
      </c>
      <c r="D9" s="39">
        <v>1.5</v>
      </c>
      <c r="E9" s="7" t="s">
        <v>820</v>
      </c>
      <c r="F9" s="2" t="s">
        <v>684</v>
      </c>
    </row>
    <row r="10" spans="1:8" x14ac:dyDescent="0.3">
      <c r="A10" s="5" t="s">
        <v>823</v>
      </c>
      <c r="D10" s="39">
        <v>0.5</v>
      </c>
      <c r="E10" s="7" t="s">
        <v>820</v>
      </c>
      <c r="F10" s="2" t="s">
        <v>824</v>
      </c>
    </row>
    <row r="11" spans="1:8" x14ac:dyDescent="0.3">
      <c r="A11" s="5" t="s">
        <v>825</v>
      </c>
      <c r="D11" s="39">
        <v>0.3</v>
      </c>
      <c r="E11" s="7" t="s">
        <v>820</v>
      </c>
      <c r="F11" s="2" t="s">
        <v>826</v>
      </c>
    </row>
    <row r="12" spans="1:8" x14ac:dyDescent="0.3">
      <c r="A12" s="5" t="s">
        <v>827</v>
      </c>
      <c r="D12" s="39">
        <v>2.5</v>
      </c>
      <c r="E12" s="7" t="s">
        <v>820</v>
      </c>
      <c r="F12" s="2" t="s">
        <v>828</v>
      </c>
    </row>
    <row r="13" spans="1:8" x14ac:dyDescent="0.3">
      <c r="A13" s="5" t="s">
        <v>829</v>
      </c>
      <c r="D13" s="71">
        <f>10*LOG10(10^(RF_NFlna/10)+(10^((RF_Lcab+RF_Lpcb)/10)*10^(RF_NFrx/10)-1)/10^(RF_Glna/10))</f>
        <v>1.5055415977207187</v>
      </c>
      <c r="E13" s="7" t="s">
        <v>820</v>
      </c>
      <c r="F13" s="2" t="s">
        <v>830</v>
      </c>
    </row>
    <row r="14" spans="1:8" x14ac:dyDescent="0.3">
      <c r="A14" s="5" t="s">
        <v>831</v>
      </c>
      <c r="D14" s="60">
        <f>RF_Sig+RF_Gant+174-RF_NFsys</f>
        <v>44.494458402279278</v>
      </c>
      <c r="E14" s="7" t="s">
        <v>832</v>
      </c>
      <c r="F14" s="2" t="s">
        <v>833</v>
      </c>
    </row>
    <row r="15" spans="1:8" x14ac:dyDescent="0.3">
      <c r="A15" s="5" t="s">
        <v>834</v>
      </c>
      <c r="D15" s="39">
        <v>40</v>
      </c>
      <c r="E15" s="7" t="s">
        <v>832</v>
      </c>
      <c r="F15" s="2"/>
    </row>
    <row r="16" spans="1:8" x14ac:dyDescent="0.3">
      <c r="A16" s="5" t="s">
        <v>41</v>
      </c>
      <c r="D16" s="11" t="str">
        <f>IF(RF_CN0&gt;=RF_CN0min,"OK","MARGINAL")</f>
        <v>OK</v>
      </c>
      <c r="E16" s="7"/>
      <c r="F16" s="2"/>
    </row>
    <row r="17" spans="1:10" x14ac:dyDescent="0.3">
      <c r="A17" s="5" t="s">
        <v>835</v>
      </c>
      <c r="D17" s="60">
        <f>RF_Glna-RF_Lcab-RF_Lpcb</f>
        <v>27.2</v>
      </c>
      <c r="E17" s="7" t="s">
        <v>820</v>
      </c>
      <c r="F17" s="2" t="s">
        <v>836</v>
      </c>
    </row>
    <row r="18" spans="1:10" x14ac:dyDescent="0.3">
      <c r="A18" s="5" t="s">
        <v>837</v>
      </c>
      <c r="D18" s="39">
        <v>30</v>
      </c>
      <c r="E18" s="7" t="s">
        <v>820</v>
      </c>
      <c r="F18" s="2" t="s">
        <v>838</v>
      </c>
    </row>
    <row r="19" spans="1:10" x14ac:dyDescent="0.3">
      <c r="A19" s="5" t="s">
        <v>839</v>
      </c>
      <c r="D19" s="11" t="str">
        <f>IF(D17&lt;=RF_Gmax,"OK","OVER")</f>
        <v>OK</v>
      </c>
      <c r="E19" s="7"/>
      <c r="F19" s="2"/>
    </row>
    <row r="21" spans="1:10" x14ac:dyDescent="0.3">
      <c r="A21" s="3" t="s">
        <v>840</v>
      </c>
      <c r="B21" s="4"/>
      <c r="C21" s="4"/>
      <c r="D21" s="4"/>
      <c r="E21" s="4"/>
      <c r="F21" s="4"/>
      <c r="G21" s="4"/>
      <c r="H21" s="4"/>
    </row>
    <row r="22" spans="1:10" ht="42" customHeight="1" x14ac:dyDescent="0.3">
      <c r="A22" s="12" t="s">
        <v>841</v>
      </c>
      <c r="B22" s="12" t="s">
        <v>842</v>
      </c>
      <c r="C22" s="12" t="s">
        <v>843</v>
      </c>
      <c r="D22" s="12" t="s">
        <v>844</v>
      </c>
      <c r="E22" s="12" t="s">
        <v>42</v>
      </c>
    </row>
    <row r="23" spans="1:10" ht="79.2" x14ac:dyDescent="0.3">
      <c r="A23" s="13" t="s">
        <v>845</v>
      </c>
      <c r="B23" s="72">
        <v>1575.42</v>
      </c>
      <c r="C23" s="72">
        <v>1.0229999999999999</v>
      </c>
      <c r="D23" s="24" t="s">
        <v>183</v>
      </c>
      <c r="E23" s="13" t="s">
        <v>846</v>
      </c>
    </row>
    <row r="24" spans="1:10" ht="66" x14ac:dyDescent="0.3">
      <c r="A24" s="13" t="s">
        <v>847</v>
      </c>
      <c r="B24" s="72">
        <v>1561.098</v>
      </c>
      <c r="C24" s="72">
        <v>2.0459999999999998</v>
      </c>
      <c r="D24" s="24" t="s">
        <v>183</v>
      </c>
      <c r="E24" s="13" t="s">
        <v>848</v>
      </c>
    </row>
    <row r="25" spans="1:10" ht="132" x14ac:dyDescent="0.3">
      <c r="A25" s="13" t="s">
        <v>849</v>
      </c>
      <c r="B25" s="72">
        <v>1601.72</v>
      </c>
      <c r="C25" s="72">
        <v>4.2</v>
      </c>
      <c r="D25" s="24" t="s">
        <v>396</v>
      </c>
      <c r="E25" s="13" t="s">
        <v>850</v>
      </c>
    </row>
    <row r="27" spans="1:10" x14ac:dyDescent="0.3">
      <c r="A27" s="3" t="s">
        <v>851</v>
      </c>
      <c r="B27" s="4"/>
      <c r="C27" s="4"/>
      <c r="D27" s="4"/>
      <c r="E27" s="4"/>
      <c r="F27" s="4"/>
      <c r="G27" s="4"/>
      <c r="H27" s="4"/>
    </row>
    <row r="28" spans="1:10" ht="42" customHeight="1" x14ac:dyDescent="0.3">
      <c r="A28" s="12" t="s">
        <v>852</v>
      </c>
      <c r="B28" s="12" t="s">
        <v>25</v>
      </c>
      <c r="C28" s="12" t="s">
        <v>853</v>
      </c>
      <c r="D28" s="12" t="s">
        <v>854</v>
      </c>
      <c r="E28" s="12" t="s">
        <v>855</v>
      </c>
      <c r="F28" s="12" t="s">
        <v>856</v>
      </c>
      <c r="G28" s="12" t="s">
        <v>857</v>
      </c>
      <c r="H28" s="12" t="s">
        <v>858</v>
      </c>
      <c r="I28" s="12" t="s">
        <v>859</v>
      </c>
      <c r="J28" s="12" t="s">
        <v>42</v>
      </c>
    </row>
    <row r="29" spans="1:10" x14ac:dyDescent="0.3">
      <c r="A29" s="13" t="s">
        <v>860</v>
      </c>
      <c r="B29" s="19" t="s">
        <v>43</v>
      </c>
      <c r="C29" s="32">
        <f>INDEX(CLK_SYS,MATCH("B1",CLK_Board,0))</f>
        <v>16</v>
      </c>
      <c r="D29" s="21">
        <f t="shared" ref="D29:D38" si="0">ROUND($B$23/C29,0)</f>
        <v>98</v>
      </c>
      <c r="E29" s="31">
        <f t="shared" ref="E29:E38" si="1">C29*ROUND($B$23/C29,0)-$B$23</f>
        <v>-7.4200000000000728</v>
      </c>
      <c r="F29" s="31">
        <f t="shared" ref="F29:F38" si="2">C29*ROUND($B$24/C29,0)-$B$24</f>
        <v>6.9020000000000437</v>
      </c>
      <c r="G29" s="31">
        <f t="shared" ref="G29:G38" si="3">C29*ROUND($B$25/C29,0)-$B$25</f>
        <v>-1.7200000000000273</v>
      </c>
      <c r="H29" s="13" t="str">
        <f t="shared" ref="H29:H38" si="4">IF(OR(AND($D$23="Y",ABS(E29)&lt;=$C$23),AND($D$24="Y",ABS(F29)&lt;=$C$24),AND($D$25="Y",ABS(G29)&lt;=$C$25)),"IN BAND","clear")</f>
        <v>clear</v>
      </c>
      <c r="I29" s="13" t="str">
        <f t="shared" ref="I29:I38" si="5">IF(H29="clear","OK",IF(AND(B29="B3",D29&lt;=200),"HIGH",IF(OR(AND(B29="B3",D29&lt;=1000),D29&lt;=200),"MED","LOW")))</f>
        <v>OK</v>
      </c>
      <c r="J29" s="13"/>
    </row>
    <row r="30" spans="1:10" ht="26.4" x14ac:dyDescent="0.3">
      <c r="A30" s="13" t="s">
        <v>861</v>
      </c>
      <c r="B30" s="19" t="s">
        <v>43</v>
      </c>
      <c r="C30" s="32">
        <f>INDEX(AL_Bit,MATCH("B1-SPI2",AL_ID,0))/1000000</f>
        <v>8</v>
      </c>
      <c r="D30" s="21">
        <f t="shared" si="0"/>
        <v>197</v>
      </c>
      <c r="E30" s="31">
        <f t="shared" si="1"/>
        <v>0.57999999999992724</v>
      </c>
      <c r="F30" s="31">
        <f t="shared" si="2"/>
        <v>-1.0979999999999563</v>
      </c>
      <c r="G30" s="31">
        <f t="shared" si="3"/>
        <v>-1.7200000000000273</v>
      </c>
      <c r="H30" s="13" t="str">
        <f t="shared" si="4"/>
        <v>IN BAND</v>
      </c>
      <c r="I30" s="13" t="str">
        <f t="shared" si="5"/>
        <v>MED</v>
      </c>
      <c r="J30" s="13" t="s">
        <v>862</v>
      </c>
    </row>
    <row r="31" spans="1:10" x14ac:dyDescent="0.3">
      <c r="A31" s="13" t="s">
        <v>863</v>
      </c>
      <c r="B31" s="19" t="s">
        <v>43</v>
      </c>
      <c r="C31" s="32">
        <f>INDEX(AL_Bit,MATCH("B1-SPI1",AL_ID,0))/1000000</f>
        <v>2</v>
      </c>
      <c r="D31" s="21">
        <f t="shared" si="0"/>
        <v>788</v>
      </c>
      <c r="E31" s="31">
        <f t="shared" si="1"/>
        <v>0.57999999999992724</v>
      </c>
      <c r="F31" s="31">
        <f t="shared" si="2"/>
        <v>0.90200000000004366</v>
      </c>
      <c r="G31" s="31">
        <f t="shared" si="3"/>
        <v>0.27999999999997272</v>
      </c>
      <c r="H31" s="13" t="str">
        <f t="shared" si="4"/>
        <v>IN BAND</v>
      </c>
      <c r="I31" s="13" t="str">
        <f t="shared" si="5"/>
        <v>LOW</v>
      </c>
      <c r="J31" s="13"/>
    </row>
    <row r="32" spans="1:10" x14ac:dyDescent="0.3">
      <c r="A32" s="13" t="s">
        <v>864</v>
      </c>
      <c r="B32" s="19" t="s">
        <v>43</v>
      </c>
      <c r="C32" s="32">
        <f>INDEX(AL_Bit,MATCH("B1-SDIO",AL_ID,0))/1000000</f>
        <v>24</v>
      </c>
      <c r="D32" s="21">
        <f t="shared" si="0"/>
        <v>66</v>
      </c>
      <c r="E32" s="31">
        <f t="shared" si="1"/>
        <v>8.5799999999999272</v>
      </c>
      <c r="F32" s="31">
        <f t="shared" si="2"/>
        <v>-1.0979999999999563</v>
      </c>
      <c r="G32" s="31">
        <f t="shared" si="3"/>
        <v>6.2799999999999727</v>
      </c>
      <c r="H32" s="13" t="str">
        <f t="shared" si="4"/>
        <v>IN BAND</v>
      </c>
      <c r="I32" s="13" t="str">
        <f t="shared" si="5"/>
        <v>MED</v>
      </c>
      <c r="J32" s="13"/>
    </row>
    <row r="33" spans="1:10" x14ac:dyDescent="0.3">
      <c r="A33" s="13" t="s">
        <v>865</v>
      </c>
      <c r="B33" s="19" t="s">
        <v>43</v>
      </c>
      <c r="C33" s="31">
        <v>1.1000000000000001</v>
      </c>
      <c r="D33" s="21">
        <f t="shared" si="0"/>
        <v>1432</v>
      </c>
      <c r="E33" s="31">
        <f t="shared" si="1"/>
        <v>-0.22000000000002728</v>
      </c>
      <c r="F33" s="31">
        <f t="shared" si="2"/>
        <v>-0.19799999999986539</v>
      </c>
      <c r="G33" s="31">
        <f t="shared" si="3"/>
        <v>-0.11999999999989086</v>
      </c>
      <c r="H33" s="13" t="str">
        <f t="shared" si="4"/>
        <v>IN BAND</v>
      </c>
      <c r="I33" s="13" t="str">
        <f t="shared" si="5"/>
        <v>LOW</v>
      </c>
      <c r="J33" s="13" t="s">
        <v>866</v>
      </c>
    </row>
    <row r="34" spans="1:10" x14ac:dyDescent="0.3">
      <c r="A34" s="13" t="s">
        <v>867</v>
      </c>
      <c r="B34" s="19" t="s">
        <v>47</v>
      </c>
      <c r="C34" s="32">
        <f>INDEX(CLK_SYS,MATCH("B2",CLK_Board,0))</f>
        <v>16</v>
      </c>
      <c r="D34" s="21">
        <f t="shared" si="0"/>
        <v>98</v>
      </c>
      <c r="E34" s="31">
        <f t="shared" si="1"/>
        <v>-7.4200000000000728</v>
      </c>
      <c r="F34" s="31">
        <f t="shared" si="2"/>
        <v>6.9020000000000437</v>
      </c>
      <c r="G34" s="31">
        <f t="shared" si="3"/>
        <v>-1.7200000000000273</v>
      </c>
      <c r="H34" s="13" t="str">
        <f t="shared" si="4"/>
        <v>clear</v>
      </c>
      <c r="I34" s="13" t="str">
        <f t="shared" si="5"/>
        <v>OK</v>
      </c>
      <c r="J34" s="13"/>
    </row>
    <row r="35" spans="1:10" x14ac:dyDescent="0.3">
      <c r="A35" s="13" t="s">
        <v>868</v>
      </c>
      <c r="B35" s="19" t="s">
        <v>47</v>
      </c>
      <c r="C35" s="32">
        <f>INDEX(AL_Bit,MATCH("B2-SPI2",AL_ID,0))/1000000</f>
        <v>8</v>
      </c>
      <c r="D35" s="21">
        <f t="shared" si="0"/>
        <v>197</v>
      </c>
      <c r="E35" s="31">
        <f t="shared" si="1"/>
        <v>0.57999999999992724</v>
      </c>
      <c r="F35" s="31">
        <f t="shared" si="2"/>
        <v>-1.0979999999999563</v>
      </c>
      <c r="G35" s="31">
        <f t="shared" si="3"/>
        <v>-1.7200000000000273</v>
      </c>
      <c r="H35" s="13" t="str">
        <f t="shared" si="4"/>
        <v>IN BAND</v>
      </c>
      <c r="I35" s="13" t="str">
        <f t="shared" si="5"/>
        <v>MED</v>
      </c>
      <c r="J35" s="13"/>
    </row>
    <row r="36" spans="1:10" ht="26.4" x14ac:dyDescent="0.3">
      <c r="A36" s="13" t="s">
        <v>869</v>
      </c>
      <c r="B36" s="19" t="s">
        <v>50</v>
      </c>
      <c r="C36" s="32">
        <f>INDEX(CLK_SYS,MATCH("B3",CLK_Board,0))</f>
        <v>16</v>
      </c>
      <c r="D36" s="21">
        <f t="shared" si="0"/>
        <v>98</v>
      </c>
      <c r="E36" s="31">
        <f t="shared" si="1"/>
        <v>-7.4200000000000728</v>
      </c>
      <c r="F36" s="31">
        <f t="shared" si="2"/>
        <v>6.9020000000000437</v>
      </c>
      <c r="G36" s="31">
        <f t="shared" si="3"/>
        <v>-1.7200000000000273</v>
      </c>
      <c r="H36" s="13" t="str">
        <f t="shared" si="4"/>
        <v>clear</v>
      </c>
      <c r="I36" s="13" t="str">
        <f t="shared" si="5"/>
        <v>OK</v>
      </c>
      <c r="J36" s="13" t="s">
        <v>870</v>
      </c>
    </row>
    <row r="37" spans="1:10" x14ac:dyDescent="0.3">
      <c r="A37" s="13" t="s">
        <v>871</v>
      </c>
      <c r="B37" s="19" t="s">
        <v>50</v>
      </c>
      <c r="C37" s="32">
        <f>INDEX(AL_Bit,MATCH("B3-I2C1",AL_ID,0))/1000000</f>
        <v>0.4</v>
      </c>
      <c r="D37" s="21">
        <f t="shared" si="0"/>
        <v>3939</v>
      </c>
      <c r="E37" s="31">
        <f t="shared" si="1"/>
        <v>0.18000000000006366</v>
      </c>
      <c r="F37" s="31">
        <f t="shared" si="2"/>
        <v>0.10200000000008913</v>
      </c>
      <c r="G37" s="31">
        <f t="shared" si="3"/>
        <v>-0.11999999999989086</v>
      </c>
      <c r="H37" s="13" t="str">
        <f t="shared" si="4"/>
        <v>IN BAND</v>
      </c>
      <c r="I37" s="13" t="str">
        <f t="shared" si="5"/>
        <v>LOW</v>
      </c>
      <c r="J37" s="13" t="s">
        <v>872</v>
      </c>
    </row>
    <row r="38" spans="1:10" x14ac:dyDescent="0.3">
      <c r="A38" s="13" t="s">
        <v>873</v>
      </c>
      <c r="B38" s="19" t="s">
        <v>50</v>
      </c>
      <c r="C38" s="32">
        <f>INDEX(AL_Bit,MATCH("B3-USART1",AL_ID,0))/1000000</f>
        <v>1</v>
      </c>
      <c r="D38" s="21">
        <f t="shared" si="0"/>
        <v>1575</v>
      </c>
      <c r="E38" s="31">
        <f t="shared" si="1"/>
        <v>-0.42000000000007276</v>
      </c>
      <c r="F38" s="31">
        <f t="shared" si="2"/>
        <v>-9.7999999999956344E-2</v>
      </c>
      <c r="G38" s="31">
        <f t="shared" si="3"/>
        <v>0.27999999999997272</v>
      </c>
      <c r="H38" s="13" t="str">
        <f t="shared" si="4"/>
        <v>IN BAND</v>
      </c>
      <c r="I38" s="13" t="str">
        <f t="shared" si="5"/>
        <v>LOW</v>
      </c>
      <c r="J38" s="13"/>
    </row>
    <row r="39" spans="1:10" x14ac:dyDescent="0.3">
      <c r="A39" s="2" t="s">
        <v>874</v>
      </c>
    </row>
  </sheetData>
  <conditionalFormatting sqref="D16">
    <cfRule type="expression" dxfId="23" priority="2">
      <formula>OR(LEFT(D16,8)="CONFLICT",LEFT(D16,7)="EXCEEDS",LEFT(D16,4)="OVER",LEFT(D16,5)="LIMIT",LEFT(D16,7)="INVALID",LEFT(D16,9)="VIOLATION",LEFT(D16,8)="BAUD ERR",LEFT(D16,4)="HIGH",LEFT(D16,5)="BELOW",LEFT(D16,4)="FAIL",LEFT(D16,7)="TOO BIG")</formula>
    </cfRule>
    <cfRule type="expression" dxfId="22" priority="3">
      <formula>OR(LEFT(D16,8)="MARGINAL",LEFT(D16,3)="MED",LEFT(D16,5)="CHECK",LEFT(D16,3)="TL:")</formula>
    </cfRule>
    <cfRule type="expression" dxfId="21" priority="4">
      <formula>LEFT(D16,2)="OK"</formula>
    </cfRule>
  </conditionalFormatting>
  <conditionalFormatting sqref="D19">
    <cfRule type="expression" dxfId="20" priority="5">
      <formula>OR(LEFT(D19,8)="CONFLICT",LEFT(D19,7)="EXCEEDS",LEFT(D19,4)="OVER",LEFT(D19,5)="LIMIT",LEFT(D19,7)="INVALID",LEFT(D19,9)="VIOLATION",LEFT(D19,8)="BAUD ERR",LEFT(D19,4)="HIGH",LEFT(D19,5)="BELOW",LEFT(D19,4)="FAIL",LEFT(D19,7)="TOO BIG")</formula>
    </cfRule>
    <cfRule type="expression" dxfId="19" priority="6">
      <formula>OR(LEFT(D19,8)="MARGINAL",LEFT(D19,3)="MED",LEFT(D19,5)="CHECK",LEFT(D19,3)="TL:")</formula>
    </cfRule>
    <cfRule type="expression" dxfId="18" priority="7">
      <formula>LEFT(D19,2)="OK"</formula>
    </cfRule>
  </conditionalFormatting>
  <conditionalFormatting sqref="I29:I38">
    <cfRule type="expression" dxfId="17" priority="8">
      <formula>OR(LEFT(I29,8)="CONFLICT",LEFT(I29,7)="EXCEEDS",LEFT(I29,4)="OVER",LEFT(I29,5)="LIMIT",LEFT(I29,7)="INVALID",LEFT(I29,9)="VIOLATION",LEFT(I29,8)="BAUD ERR",LEFT(I29,4)="HIGH",LEFT(I29,5)="BELOW",LEFT(I29,4)="FAIL",LEFT(I29,7)="TOO BIG")</formula>
    </cfRule>
    <cfRule type="expression" dxfId="16" priority="9">
      <formula>OR(LEFT(I29,8)="MARGINAL",LEFT(I29,3)="MED",LEFT(I29,5)="CHECK",LEFT(I29,3)="TL:")</formula>
    </cfRule>
    <cfRule type="expression" dxfId="15" priority="10">
      <formula>LEFT(I29,2)="OK"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I30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4" width="10" customWidth="1"/>
    <col min="5" max="8" width="12" customWidth="1"/>
    <col min="9" max="9" width="50" customWidth="1"/>
  </cols>
  <sheetData>
    <row r="1" spans="1:9" ht="17.399999999999999" x14ac:dyDescent="0.3">
      <c r="A1" s="1" t="s">
        <v>875</v>
      </c>
    </row>
    <row r="2" spans="1:9" x14ac:dyDescent="0.3">
      <c r="A2" s="2" t="s">
        <v>876</v>
      </c>
    </row>
    <row r="3" spans="1:9" x14ac:dyDescent="0.3">
      <c r="A3" s="2" t="s">
        <v>2</v>
      </c>
    </row>
    <row r="5" spans="1:9" x14ac:dyDescent="0.3">
      <c r="A5" s="3" t="s">
        <v>877</v>
      </c>
      <c r="B5" s="4"/>
      <c r="C5" s="4"/>
      <c r="D5" s="4"/>
      <c r="E5" s="4"/>
      <c r="F5" s="4"/>
      <c r="G5" s="4"/>
      <c r="H5" s="4"/>
    </row>
    <row r="6" spans="1:9" x14ac:dyDescent="0.3">
      <c r="A6" s="5" t="s">
        <v>878</v>
      </c>
      <c r="D6" s="39">
        <v>19</v>
      </c>
      <c r="E6" s="7" t="s">
        <v>879</v>
      </c>
      <c r="F6" s="2" t="s">
        <v>880</v>
      </c>
    </row>
    <row r="7" spans="1:9" x14ac:dyDescent="0.3">
      <c r="A7" s="5" t="s">
        <v>881</v>
      </c>
      <c r="D7" s="39">
        <v>1</v>
      </c>
      <c r="E7" s="7" t="s">
        <v>882</v>
      </c>
      <c r="F7" s="2"/>
    </row>
    <row r="8" spans="1:9" x14ac:dyDescent="0.3">
      <c r="A8" s="5" t="s">
        <v>883</v>
      </c>
      <c r="D8" s="73">
        <f>Bh*TAN(RADIANS(HdgDeg))</f>
        <v>0.3316462336361341</v>
      </c>
      <c r="E8" s="7" t="s">
        <v>879</v>
      </c>
      <c r="F8" s="2" t="s">
        <v>884</v>
      </c>
    </row>
    <row r="9" spans="1:9" x14ac:dyDescent="0.3">
      <c r="A9" s="5" t="s">
        <v>885</v>
      </c>
      <c r="D9" s="6">
        <v>800</v>
      </c>
      <c r="E9" s="7" t="s">
        <v>879</v>
      </c>
      <c r="F9" s="2" t="s">
        <v>886</v>
      </c>
    </row>
    <row r="11" spans="1:9" x14ac:dyDescent="0.3">
      <c r="A11" s="3" t="s">
        <v>887</v>
      </c>
      <c r="B11" s="4"/>
      <c r="C11" s="4"/>
      <c r="D11" s="4"/>
      <c r="E11" s="4"/>
      <c r="F11" s="4"/>
      <c r="G11" s="4"/>
      <c r="H11" s="4"/>
    </row>
    <row r="12" spans="1:9" ht="42" customHeight="1" x14ac:dyDescent="0.3">
      <c r="A12" s="12" t="s">
        <v>536</v>
      </c>
      <c r="B12" s="12" t="s">
        <v>888</v>
      </c>
      <c r="C12" s="12" t="s">
        <v>889</v>
      </c>
      <c r="D12" s="12" t="s">
        <v>890</v>
      </c>
      <c r="E12" s="12" t="s">
        <v>891</v>
      </c>
      <c r="F12" s="12" t="s">
        <v>892</v>
      </c>
      <c r="G12" s="12" t="s">
        <v>41</v>
      </c>
      <c r="H12" s="12" t="s">
        <v>893</v>
      </c>
      <c r="I12" s="12" t="s">
        <v>42</v>
      </c>
    </row>
    <row r="13" spans="1:9" ht="26.4" x14ac:dyDescent="0.3">
      <c r="A13" s="13" t="s">
        <v>894</v>
      </c>
      <c r="B13" s="48">
        <f>Ibat_typ_min</f>
        <v>29.536597542034837</v>
      </c>
      <c r="C13" s="40">
        <v>6.6</v>
      </c>
      <c r="D13" s="67">
        <v>1.2</v>
      </c>
      <c r="E13" s="31">
        <f>0.0000002*(B13/1000)*(1/(C13/1000)-1/((C13+D13)/1000))*1000000</f>
        <v>0.13769975544072194</v>
      </c>
      <c r="F13" s="31">
        <f>Ballow</f>
        <v>0.3316462336361341</v>
      </c>
      <c r="G13" s="13" t="str">
        <f>IF(E13&lt;=F13,"OK","OVER")</f>
        <v>OK</v>
      </c>
      <c r="H13" s="68">
        <f>SQRT(0.0000002*(B13/1000)*(D13/1000)/(F13*0.000001))*1000</f>
        <v>4.6232600116591573</v>
      </c>
      <c r="I13" s="13" t="s">
        <v>895</v>
      </c>
    </row>
    <row r="14" spans="1:9" x14ac:dyDescent="0.3">
      <c r="A14" s="13" t="s">
        <v>896</v>
      </c>
      <c r="B14" s="48">
        <f>Ibat_max_min</f>
        <v>108.46179103828702</v>
      </c>
      <c r="C14" s="40">
        <v>6.6</v>
      </c>
      <c r="D14" s="67">
        <v>1.2</v>
      </c>
      <c r="E14" s="31">
        <f>0.0000002*(B14/1000)*(1/(C14/1000)-1/((C14+D14)/1000))*1000000</f>
        <v>0.50564937546986988</v>
      </c>
      <c r="F14" s="31">
        <f>Ballow</f>
        <v>0.3316462336361341</v>
      </c>
      <c r="G14" s="13" t="str">
        <f>IF(E14&lt;=F14,"OK","OVER")</f>
        <v>OVER</v>
      </c>
      <c r="H14" s="68">
        <f>SQRT(0.0000002*(B14/1000)*(D14/1000)/(F14*0.000001))*1000</f>
        <v>8.8594440935168386</v>
      </c>
      <c r="I14" s="13"/>
    </row>
    <row r="15" spans="1:9" ht="26.4" x14ac:dyDescent="0.3">
      <c r="A15" s="13" t="s">
        <v>897</v>
      </c>
      <c r="B15" s="47">
        <v>1000</v>
      </c>
      <c r="C15" s="40">
        <v>6.6</v>
      </c>
      <c r="D15" s="67">
        <v>1.2</v>
      </c>
      <c r="E15" s="31">
        <f>0.0000002*(B15/1000)*(1/(C15/1000)-1/((C15+D15)/1000))*1000000</f>
        <v>4.6620046620046649</v>
      </c>
      <c r="F15" s="31">
        <f>Ballow</f>
        <v>0.3316462336361341</v>
      </c>
      <c r="G15" s="13" t="str">
        <f>IF(E15&lt;=F15,"OK","OVER")</f>
        <v>OVER</v>
      </c>
      <c r="H15" s="68">
        <f>SQRT(0.0000002*(B15/1000)*(D15/1000)/(F15*0.000001))*1000</f>
        <v>26.900979038515409</v>
      </c>
      <c r="I15" s="13"/>
    </row>
    <row r="16" spans="1:9" x14ac:dyDescent="0.3">
      <c r="A16" s="13" t="s">
        <v>898</v>
      </c>
      <c r="B16" s="48">
        <f>Irail_typ</f>
        <v>45.613468928599296</v>
      </c>
      <c r="C16" s="40">
        <v>5</v>
      </c>
      <c r="D16" s="67">
        <v>0.5</v>
      </c>
      <c r="E16" s="31">
        <f>0.0000002*(B16/1000)*(1/(C16/1000)-1/((C16+D16)/1000))*1000000</f>
        <v>0.16586715974036087</v>
      </c>
      <c r="F16" s="31">
        <f>Ballow</f>
        <v>0.3316462336361341</v>
      </c>
      <c r="G16" s="13" t="str">
        <f>IF(E16&lt;=F16,"OK","OVER")</f>
        <v>OK</v>
      </c>
      <c r="H16" s="68">
        <f>SQRT(0.0000002*(B16/1000)*(D16/1000)/(F16*0.000001))*1000</f>
        <v>3.7085916498153959</v>
      </c>
      <c r="I16" s="13" t="s">
        <v>899</v>
      </c>
    </row>
    <row r="17" spans="1:8" x14ac:dyDescent="0.3">
      <c r="A17" s="2" t="s">
        <v>900</v>
      </c>
    </row>
    <row r="19" spans="1:8" x14ac:dyDescent="0.3">
      <c r="A19" s="3" t="s">
        <v>901</v>
      </c>
      <c r="B19" s="4"/>
      <c r="C19" s="4"/>
      <c r="D19" s="4"/>
      <c r="E19" s="4"/>
      <c r="F19" s="4"/>
      <c r="G19" s="4"/>
      <c r="H19" s="4"/>
    </row>
    <row r="20" spans="1:8" x14ac:dyDescent="0.3">
      <c r="A20" s="5" t="s">
        <v>902</v>
      </c>
      <c r="D20" s="38">
        <v>1.43</v>
      </c>
      <c r="E20" s="7" t="s">
        <v>903</v>
      </c>
      <c r="F20" s="2"/>
    </row>
    <row r="21" spans="1:8" x14ac:dyDescent="0.3">
      <c r="A21" s="5" t="s">
        <v>904</v>
      </c>
      <c r="D21" s="39">
        <v>3</v>
      </c>
      <c r="E21" s="7" t="s">
        <v>905</v>
      </c>
      <c r="F21" s="2" t="s">
        <v>906</v>
      </c>
    </row>
    <row r="22" spans="1:8" x14ac:dyDescent="0.3">
      <c r="A22" s="5" t="s">
        <v>907</v>
      </c>
      <c r="D22" s="39">
        <v>20</v>
      </c>
      <c r="E22" s="7" t="s">
        <v>905</v>
      </c>
      <c r="F22" s="2"/>
    </row>
    <row r="24" spans="1:8" ht="42" customHeight="1" x14ac:dyDescent="0.3">
      <c r="A24" s="12" t="s">
        <v>908</v>
      </c>
      <c r="B24" s="12" t="s">
        <v>909</v>
      </c>
      <c r="C24" s="12" t="s">
        <v>910</v>
      </c>
      <c r="D24" s="12" t="s">
        <v>891</v>
      </c>
      <c r="E24" s="12" t="s">
        <v>911</v>
      </c>
      <c r="F24" s="12" t="s">
        <v>42</v>
      </c>
    </row>
    <row r="25" spans="1:8" ht="26.4" x14ac:dyDescent="0.3">
      <c r="A25" s="40">
        <v>1</v>
      </c>
      <c r="B25" s="68">
        <f>A25*25.4</f>
        <v>25.4</v>
      </c>
      <c r="C25" s="31">
        <f>MagBr/2*((MagL+B25)/SQRT(MagR^2+(MagL+B25)^2)-B25/SQRT(MagR^2+B25^2))*10000</f>
        <v>33.796356066696042</v>
      </c>
      <c r="D25" s="21">
        <f>C25*100</f>
        <v>3379.6356066696044</v>
      </c>
      <c r="E25" s="13" t="str">
        <f>IF(D25&lt;=MagFS,"OK","OVER (saturates)")</f>
        <v>OVER (saturates)</v>
      </c>
      <c r="F25" s="13"/>
    </row>
    <row r="26" spans="1:8" x14ac:dyDescent="0.3">
      <c r="A26" s="40">
        <v>2</v>
      </c>
      <c r="B26" s="68">
        <f>A26*25.4</f>
        <v>50.8</v>
      </c>
      <c r="C26" s="31">
        <f>MagBr/2*((MagL+B26)/SQRT(MagR^2+(MagL+B26)^2)-B26/SQRT(MagR^2+B26^2))*10000</f>
        <v>6.0251779114930235</v>
      </c>
      <c r="D26" s="21">
        <f>C26*100</f>
        <v>602.5177911493023</v>
      </c>
      <c r="E26" s="13" t="str">
        <f>IF(D26&lt;=MagFS,"OK","OVER (saturates)")</f>
        <v>OK</v>
      </c>
      <c r="F26" s="13"/>
    </row>
    <row r="27" spans="1:8" ht="39.6" x14ac:dyDescent="0.3">
      <c r="A27" s="40">
        <v>3</v>
      </c>
      <c r="B27" s="68">
        <f>A27*25.4</f>
        <v>76.199999999999989</v>
      </c>
      <c r="C27" s="31">
        <f>MagBr/2*((MagL+B27)/SQRT(MagR^2+(MagL+B27)^2)-B27/SQRT(MagR^2+B27^2))*10000</f>
        <v>2.0606518929233597</v>
      </c>
      <c r="D27" s="21">
        <f>C27*100</f>
        <v>206.06518929233596</v>
      </c>
      <c r="E27" s="13" t="str">
        <f>IF(D27&lt;=MagFS,"OK","OVER (saturates)")</f>
        <v>OK</v>
      </c>
      <c r="F27" s="13" t="s">
        <v>912</v>
      </c>
    </row>
    <row r="28" spans="1:8" x14ac:dyDescent="0.3">
      <c r="A28" s="40">
        <v>4</v>
      </c>
      <c r="B28" s="68">
        <f>A28*25.4</f>
        <v>101.6</v>
      </c>
      <c r="C28" s="31">
        <f>MagBr/2*((MagL+B28)/SQRT(MagR^2+(MagL+B28)^2)-B28/SQRT(MagR^2+B28^2))*10000</f>
        <v>0.93995295352934938</v>
      </c>
      <c r="D28" s="21">
        <f>C28*100</f>
        <v>93.995295352934932</v>
      </c>
      <c r="E28" s="13" t="str">
        <f>IF(D28&lt;=MagFS,"OK","OVER (saturates)")</f>
        <v>OK</v>
      </c>
      <c r="F28" s="13"/>
    </row>
    <row r="29" spans="1:8" x14ac:dyDescent="0.3">
      <c r="A29" s="40">
        <v>6</v>
      </c>
      <c r="B29" s="68">
        <f>A29*25.4</f>
        <v>152.39999999999998</v>
      </c>
      <c r="C29" s="31">
        <f>MagBr/2*((MagL+B29)/SQRT(MagR^2+(MagL+B29)^2)-B29/SQRT(MagR^2+B29^2))*10000</f>
        <v>0.30261838275185138</v>
      </c>
      <c r="D29" s="21">
        <f>C29*100</f>
        <v>30.261838275185138</v>
      </c>
      <c r="E29" s="13" t="str">
        <f>IF(D29&lt;=MagFS,"OK","OVER (saturates)")</f>
        <v>OK</v>
      </c>
      <c r="F29" s="13"/>
    </row>
    <row r="30" spans="1:8" x14ac:dyDescent="0.3">
      <c r="A30" s="2" t="s">
        <v>913</v>
      </c>
    </row>
  </sheetData>
  <conditionalFormatting sqref="E25:E29">
    <cfRule type="expression" dxfId="14" priority="5">
      <formula>OR(LEFT(E25,8)="CONFLICT",LEFT(E25,7)="EXCEEDS",LEFT(E25,4)="OVER",LEFT(E25,5)="LIMIT",LEFT(E25,7)="INVALID",LEFT(E25,9)="VIOLATION",LEFT(E25,8)="BAUD ERR",LEFT(E25,4)="HIGH",LEFT(E25,5)="BELOW",LEFT(E25,4)="FAIL",LEFT(E25,7)="TOO BIG")</formula>
    </cfRule>
    <cfRule type="expression" dxfId="13" priority="6">
      <formula>OR(LEFT(E25,8)="MARGINAL",LEFT(E25,3)="MED",LEFT(E25,5)="CHECK",LEFT(E25,3)="TL:")</formula>
    </cfRule>
    <cfRule type="expression" dxfId="12" priority="7">
      <formula>LEFT(E25,2)="OK"</formula>
    </cfRule>
  </conditionalFormatting>
  <conditionalFormatting sqref="G13:G16">
    <cfRule type="expression" dxfId="11" priority="2">
      <formula>OR(LEFT(G13,8)="CONFLICT",LEFT(G13,7)="EXCEEDS",LEFT(G13,4)="OVER",LEFT(G13,5)="LIMIT",LEFT(G13,7)="INVALID",LEFT(G13,9)="VIOLATION",LEFT(G13,8)="BAUD ERR",LEFT(G13,4)="HIGH",LEFT(G13,5)="BELOW",LEFT(G13,4)="FAIL",LEFT(G13,7)="TOO BIG")</formula>
    </cfRule>
    <cfRule type="expression" dxfId="10" priority="3">
      <formula>OR(LEFT(G13,8)="MARGINAL",LEFT(G13,3)="MED",LEFT(G13,5)="CHECK",LEFT(G13,3)="TL:")</formula>
    </cfRule>
    <cfRule type="expression" dxfId="9" priority="4">
      <formula>LEFT(G13,2)="OK"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I15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26" customWidth="1"/>
    <col min="3" max="4" width="10" customWidth="1"/>
    <col min="5" max="7" width="9" customWidth="1"/>
    <col min="8" max="8" width="10" customWidth="1"/>
    <col min="9" max="9" width="50" customWidth="1"/>
  </cols>
  <sheetData>
    <row r="1" spans="1:9" ht="17.399999999999999" x14ac:dyDescent="0.3">
      <c r="A1" s="1" t="s">
        <v>914</v>
      </c>
    </row>
    <row r="2" spans="1:9" x14ac:dyDescent="0.3">
      <c r="A2" s="2" t="s">
        <v>915</v>
      </c>
    </row>
    <row r="3" spans="1:9" x14ac:dyDescent="0.3">
      <c r="A3" s="2" t="s">
        <v>2</v>
      </c>
    </row>
    <row r="5" spans="1:9" x14ac:dyDescent="0.3">
      <c r="A5" s="5" t="s">
        <v>916</v>
      </c>
      <c r="D5" s="54">
        <v>60</v>
      </c>
      <c r="E5" s="7" t="s">
        <v>917</v>
      </c>
      <c r="F5" s="2" t="s">
        <v>628</v>
      </c>
    </row>
    <row r="6" spans="1:9" x14ac:dyDescent="0.3">
      <c r="A6" s="5" t="s">
        <v>918</v>
      </c>
      <c r="D6" s="54">
        <v>20</v>
      </c>
      <c r="E6" s="7" t="s">
        <v>917</v>
      </c>
      <c r="F6" s="2"/>
    </row>
    <row r="8" spans="1:9" ht="42" customHeight="1" x14ac:dyDescent="0.3">
      <c r="A8" s="12" t="s">
        <v>441</v>
      </c>
      <c r="B8" s="12" t="s">
        <v>919</v>
      </c>
      <c r="C8" s="12" t="s">
        <v>450</v>
      </c>
      <c r="D8" s="12" t="s">
        <v>920</v>
      </c>
      <c r="E8" s="12" t="s">
        <v>921</v>
      </c>
      <c r="F8" s="12" t="s">
        <v>922</v>
      </c>
      <c r="G8" s="12" t="s">
        <v>923</v>
      </c>
      <c r="H8" s="12" t="s">
        <v>41</v>
      </c>
      <c r="I8" s="12" t="s">
        <v>336</v>
      </c>
    </row>
    <row r="9" spans="1:9" ht="26.4" x14ac:dyDescent="0.3">
      <c r="A9" s="13" t="s">
        <v>453</v>
      </c>
      <c r="B9" s="13" t="s">
        <v>924</v>
      </c>
      <c r="C9" s="29">
        <f>INDEX(PWR_Pmax,MATCH("U1",PWR_Ref,0))</f>
        <v>9.2399999999999984</v>
      </c>
      <c r="D9" s="16">
        <v>46</v>
      </c>
      <c r="E9" s="68">
        <f t="shared" ref="E9:E15" si="0">Ta+C9/1000*D9</f>
        <v>60.425040000000003</v>
      </c>
      <c r="F9" s="16">
        <v>105</v>
      </c>
      <c r="G9" s="68">
        <f t="shared" ref="G9:G15" si="1">F9-E9</f>
        <v>44.574959999999997</v>
      </c>
      <c r="H9" s="13" t="str">
        <f t="shared" ref="H9:H15" si="2">IF(G9&gt;=TjMargin,"OK","MARGINAL")</f>
        <v>OK</v>
      </c>
      <c r="I9" s="13" t="s">
        <v>925</v>
      </c>
    </row>
    <row r="10" spans="1:9" x14ac:dyDescent="0.3">
      <c r="A10" s="13" t="s">
        <v>476</v>
      </c>
      <c r="B10" s="13" t="s">
        <v>926</v>
      </c>
      <c r="C10" s="29">
        <f>INDEX(PWR_Pmax,MATCH("U7",PWR_Ref,0))</f>
        <v>9.702</v>
      </c>
      <c r="D10" s="16">
        <v>55</v>
      </c>
      <c r="E10" s="68">
        <f t="shared" si="0"/>
        <v>60.533610000000003</v>
      </c>
      <c r="F10" s="16">
        <v>105</v>
      </c>
      <c r="G10" s="68">
        <f t="shared" si="1"/>
        <v>44.466389999999997</v>
      </c>
      <c r="H10" s="13" t="str">
        <f t="shared" si="2"/>
        <v>OK</v>
      </c>
      <c r="I10" s="13" t="s">
        <v>927</v>
      </c>
    </row>
    <row r="11" spans="1:9" x14ac:dyDescent="0.3">
      <c r="A11" s="13" t="s">
        <v>483</v>
      </c>
      <c r="B11" s="13" t="s">
        <v>926</v>
      </c>
      <c r="C11" s="29">
        <f>INDEX(PWR_Pmax,MATCH("U8",PWR_Ref,0))</f>
        <v>9.702</v>
      </c>
      <c r="D11" s="16">
        <v>55</v>
      </c>
      <c r="E11" s="68">
        <f t="shared" si="0"/>
        <v>60.533610000000003</v>
      </c>
      <c r="F11" s="16">
        <v>105</v>
      </c>
      <c r="G11" s="68">
        <f t="shared" si="1"/>
        <v>44.466389999999997</v>
      </c>
      <c r="H11" s="13" t="str">
        <f t="shared" si="2"/>
        <v>OK</v>
      </c>
      <c r="I11" s="13"/>
    </row>
    <row r="12" spans="1:9" x14ac:dyDescent="0.3">
      <c r="A12" s="13" t="s">
        <v>928</v>
      </c>
      <c r="B12" s="13" t="s">
        <v>929</v>
      </c>
      <c r="C12" s="29">
        <f>BuckLoss_max</f>
        <v>84.583037009863816</v>
      </c>
      <c r="D12" s="16">
        <v>90</v>
      </c>
      <c r="E12" s="68">
        <f t="shared" si="0"/>
        <v>67.612473330887738</v>
      </c>
      <c r="F12" s="16">
        <v>125</v>
      </c>
      <c r="G12" s="68">
        <f t="shared" si="1"/>
        <v>57.387526669112262</v>
      </c>
      <c r="H12" s="13" t="str">
        <f t="shared" si="2"/>
        <v>OK</v>
      </c>
      <c r="I12" s="13" t="s">
        <v>930</v>
      </c>
    </row>
    <row r="13" spans="1:9" x14ac:dyDescent="0.3">
      <c r="A13" s="13" t="s">
        <v>931</v>
      </c>
      <c r="B13" s="13" t="s">
        <v>932</v>
      </c>
      <c r="C13" s="29">
        <f>LossQ1_max</f>
        <v>0.70583760691398223</v>
      </c>
      <c r="D13" s="16">
        <v>125</v>
      </c>
      <c r="E13" s="68">
        <f t="shared" si="0"/>
        <v>60.088229700864247</v>
      </c>
      <c r="F13" s="16">
        <v>150</v>
      </c>
      <c r="G13" s="68">
        <f t="shared" si="1"/>
        <v>89.911770299135753</v>
      </c>
      <c r="H13" s="13" t="str">
        <f t="shared" si="2"/>
        <v>OK</v>
      </c>
      <c r="I13" s="13" t="s">
        <v>933</v>
      </c>
    </row>
    <row r="14" spans="1:9" x14ac:dyDescent="0.3">
      <c r="A14" s="13" t="s">
        <v>465</v>
      </c>
      <c r="B14" s="13" t="s">
        <v>934</v>
      </c>
      <c r="C14" s="29">
        <f>INDEX(PWR_Pmax,MATCH("U5",PWR_Ref,0))</f>
        <v>57.64</v>
      </c>
      <c r="D14" s="16">
        <v>125</v>
      </c>
      <c r="E14" s="68">
        <f t="shared" si="0"/>
        <v>67.204999999999998</v>
      </c>
      <c r="F14" s="16">
        <v>125</v>
      </c>
      <c r="G14" s="68">
        <f t="shared" si="1"/>
        <v>57.795000000000002</v>
      </c>
      <c r="H14" s="13" t="str">
        <f t="shared" si="2"/>
        <v>OK</v>
      </c>
      <c r="I14" s="13" t="s">
        <v>935</v>
      </c>
    </row>
    <row r="15" spans="1:9" ht="26.4" x14ac:dyDescent="0.3">
      <c r="A15" s="13" t="s">
        <v>484</v>
      </c>
      <c r="B15" s="13" t="s">
        <v>936</v>
      </c>
      <c r="C15" s="29">
        <f>INDEX(PWR_Pmax,MATCH("U13",PWR_Ref,0))</f>
        <v>50.49</v>
      </c>
      <c r="D15" s="16">
        <v>0</v>
      </c>
      <c r="E15" s="68">
        <f t="shared" si="0"/>
        <v>60</v>
      </c>
      <c r="F15" s="16">
        <v>85</v>
      </c>
      <c r="G15" s="68">
        <f t="shared" si="1"/>
        <v>25</v>
      </c>
      <c r="H15" s="13" t="str">
        <f t="shared" si="2"/>
        <v>OK</v>
      </c>
      <c r="I15" s="13" t="s">
        <v>937</v>
      </c>
    </row>
  </sheetData>
  <conditionalFormatting sqref="H9:H15">
    <cfRule type="expression" dxfId="8" priority="2">
      <formula>OR(LEFT(H9,8)="CONFLICT",LEFT(H9,7)="EXCEEDS",LEFT(H9,4)="OVER",LEFT(H9,5)="LIMIT",LEFT(H9,7)="INVALID",LEFT(H9,9)="VIOLATION",LEFT(H9,8)="BAUD ERR",LEFT(H9,4)="HIGH",LEFT(H9,5)="BELOW",LEFT(H9,4)="FAIL",LEFT(H9,7)="TOO BIG")</formula>
    </cfRule>
    <cfRule type="expression" dxfId="7" priority="3">
      <formula>OR(LEFT(H9,8)="MARGINAL",LEFT(H9,3)="MED",LEFT(H9,5)="CHECK",LEFT(H9,3)="TL:")</formula>
    </cfRule>
    <cfRule type="expression" dxfId="6" priority="4">
      <formula>LEFT(H9,2)="OK"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  <pageSetUpPr fitToPage="1"/>
  </sheetPr>
  <dimension ref="A1:M6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6" customWidth="1"/>
    <col min="2" max="2" width="7" customWidth="1"/>
    <col min="3" max="3" width="20" customWidth="1"/>
    <col min="4" max="4" width="18" customWidth="1"/>
    <col min="5" max="5" width="10" customWidth="1"/>
    <col min="6" max="6" width="6" customWidth="1"/>
    <col min="7" max="7" width="14" customWidth="1"/>
    <col min="8" max="8" width="6" customWidth="1"/>
    <col min="9" max="9" width="7" customWidth="1"/>
    <col min="10" max="10" width="13" customWidth="1"/>
    <col min="11" max="11" width="10" customWidth="1"/>
    <col min="12" max="12" width="18" customWidth="1"/>
    <col min="13" max="13" width="70" customWidth="1"/>
  </cols>
  <sheetData>
    <row r="1" spans="1:13" ht="17.399999999999999" x14ac:dyDescent="0.3">
      <c r="A1" s="1" t="s">
        <v>938</v>
      </c>
    </row>
    <row r="2" spans="1:13" x14ac:dyDescent="0.3">
      <c r="A2" s="2" t="s">
        <v>939</v>
      </c>
    </row>
    <row r="3" spans="1:13" x14ac:dyDescent="0.3">
      <c r="A3" s="2" t="s">
        <v>2</v>
      </c>
    </row>
    <row r="5" spans="1:13" ht="42" customHeight="1" x14ac:dyDescent="0.3">
      <c r="A5" s="12" t="s">
        <v>25</v>
      </c>
      <c r="B5" s="12" t="s">
        <v>940</v>
      </c>
      <c r="C5" s="12" t="s">
        <v>941</v>
      </c>
      <c r="D5" s="12" t="s">
        <v>942</v>
      </c>
      <c r="E5" s="12" t="s">
        <v>56</v>
      </c>
      <c r="F5" s="12" t="s">
        <v>169</v>
      </c>
      <c r="G5" s="12" t="s">
        <v>943</v>
      </c>
      <c r="H5" s="12" t="s">
        <v>944</v>
      </c>
      <c r="I5" s="12" t="s">
        <v>945</v>
      </c>
      <c r="J5" s="12" t="s">
        <v>535</v>
      </c>
      <c r="K5" s="12" t="s">
        <v>946</v>
      </c>
      <c r="L5" s="12" t="s">
        <v>947</v>
      </c>
      <c r="M5" s="12" t="s">
        <v>42</v>
      </c>
    </row>
    <row r="6" spans="1:13" x14ac:dyDescent="0.3">
      <c r="A6" s="13" t="s">
        <v>43</v>
      </c>
      <c r="B6" s="13" t="s">
        <v>948</v>
      </c>
      <c r="C6" s="13" t="s">
        <v>231</v>
      </c>
      <c r="D6" s="13" t="s">
        <v>949</v>
      </c>
      <c r="E6" s="13" t="s">
        <v>115</v>
      </c>
      <c r="F6" s="13" t="s">
        <v>950</v>
      </c>
      <c r="G6" s="13" t="s">
        <v>951</v>
      </c>
      <c r="H6" s="24" t="s">
        <v>396</v>
      </c>
      <c r="I6" s="18" t="str">
        <f t="shared" ref="I6:I37" si="0">IF(H6="Y",VALUE(MID(B6,3,2)),"")</f>
        <v/>
      </c>
      <c r="J6" s="13" t="str">
        <f t="shared" ref="J6:J37" si="1">IF(H6&lt;&gt;"Y","",IF(A6="B1",IF(I6&lt;=4,"EXTI"&amp;I6,IF(I6&lt;=9,"EXTI9_5","EXTI15_10")),IF(I6&lt;=1,"EXTI0_1",IF(I6&lt;=3,"EXTI2_3","EXTI4_15"))))</f>
        <v/>
      </c>
      <c r="K6" s="13" t="str">
        <f t="shared" ref="K6:K37" si="2">IF(H6&lt;&gt;"Y","",IF(COUNTIFS($A$6:$A$68,A6,$I$6:$I$68,I6)&gt;1,"CONFLICT","OK"))</f>
        <v/>
      </c>
      <c r="L6" s="13" t="s">
        <v>952</v>
      </c>
      <c r="M6" s="13" t="s">
        <v>953</v>
      </c>
    </row>
    <row r="7" spans="1:13" x14ac:dyDescent="0.3">
      <c r="A7" s="13" t="s">
        <v>43</v>
      </c>
      <c r="B7" s="13" t="s">
        <v>954</v>
      </c>
      <c r="C7" s="13" t="s">
        <v>230</v>
      </c>
      <c r="D7" s="13" t="s">
        <v>955</v>
      </c>
      <c r="E7" s="13" t="s">
        <v>115</v>
      </c>
      <c r="F7" s="13" t="s">
        <v>956</v>
      </c>
      <c r="G7" s="13"/>
      <c r="H7" s="24" t="s">
        <v>396</v>
      </c>
      <c r="I7" s="18" t="str">
        <f t="shared" si="0"/>
        <v/>
      </c>
      <c r="J7" s="13" t="str">
        <f t="shared" si="1"/>
        <v/>
      </c>
      <c r="K7" s="13" t="str">
        <f t="shared" si="2"/>
        <v/>
      </c>
      <c r="L7" s="13" t="s">
        <v>957</v>
      </c>
      <c r="M7" s="13"/>
    </row>
    <row r="8" spans="1:13" x14ac:dyDescent="0.3">
      <c r="A8" s="13" t="s">
        <v>43</v>
      </c>
      <c r="B8" s="13" t="s">
        <v>958</v>
      </c>
      <c r="C8" s="13" t="s">
        <v>959</v>
      </c>
      <c r="D8" s="13" t="s">
        <v>960</v>
      </c>
      <c r="E8" s="13" t="s">
        <v>961</v>
      </c>
      <c r="F8" s="13" t="s">
        <v>950</v>
      </c>
      <c r="G8" s="13"/>
      <c r="H8" s="24" t="s">
        <v>396</v>
      </c>
      <c r="I8" s="18" t="str">
        <f t="shared" si="0"/>
        <v/>
      </c>
      <c r="J8" s="13" t="str">
        <f t="shared" si="1"/>
        <v/>
      </c>
      <c r="K8" s="13" t="str">
        <f t="shared" si="2"/>
        <v/>
      </c>
      <c r="L8" s="13" t="s">
        <v>962</v>
      </c>
      <c r="M8" s="13"/>
    </row>
    <row r="9" spans="1:13" x14ac:dyDescent="0.3">
      <c r="A9" s="13" t="s">
        <v>43</v>
      </c>
      <c r="B9" s="13" t="s">
        <v>963</v>
      </c>
      <c r="C9" s="13" t="s">
        <v>964</v>
      </c>
      <c r="D9" s="13" t="s">
        <v>965</v>
      </c>
      <c r="E9" s="13" t="s">
        <v>95</v>
      </c>
      <c r="F9" s="13" t="s">
        <v>950</v>
      </c>
      <c r="G9" s="13" t="s">
        <v>966</v>
      </c>
      <c r="H9" s="24" t="s">
        <v>396</v>
      </c>
      <c r="I9" s="18" t="str">
        <f t="shared" si="0"/>
        <v/>
      </c>
      <c r="J9" s="13" t="str">
        <f t="shared" si="1"/>
        <v/>
      </c>
      <c r="K9" s="13" t="str">
        <f t="shared" si="2"/>
        <v/>
      </c>
      <c r="L9" s="13" t="s">
        <v>967</v>
      </c>
      <c r="M9" s="13"/>
    </row>
    <row r="10" spans="1:13" x14ac:dyDescent="0.3">
      <c r="A10" s="13" t="s">
        <v>43</v>
      </c>
      <c r="B10" s="13" t="s">
        <v>968</v>
      </c>
      <c r="C10" s="13" t="s">
        <v>969</v>
      </c>
      <c r="D10" s="13" t="s">
        <v>970</v>
      </c>
      <c r="E10" s="13" t="s">
        <v>95</v>
      </c>
      <c r="F10" s="13" t="s">
        <v>956</v>
      </c>
      <c r="G10" s="13"/>
      <c r="H10" s="24" t="s">
        <v>396</v>
      </c>
      <c r="I10" s="18" t="str">
        <f t="shared" si="0"/>
        <v/>
      </c>
      <c r="J10" s="13" t="str">
        <f t="shared" si="1"/>
        <v/>
      </c>
      <c r="K10" s="13" t="str">
        <f t="shared" si="2"/>
        <v/>
      </c>
      <c r="L10" s="13" t="s">
        <v>971</v>
      </c>
      <c r="M10" s="13"/>
    </row>
    <row r="11" spans="1:13" x14ac:dyDescent="0.3">
      <c r="A11" s="13" t="s">
        <v>43</v>
      </c>
      <c r="B11" s="13" t="s">
        <v>972</v>
      </c>
      <c r="C11" s="13" t="s">
        <v>973</v>
      </c>
      <c r="D11" s="13" t="s">
        <v>974</v>
      </c>
      <c r="E11" s="13" t="s">
        <v>95</v>
      </c>
      <c r="F11" s="13" t="s">
        <v>950</v>
      </c>
      <c r="G11" s="13" t="s">
        <v>966</v>
      </c>
      <c r="H11" s="24" t="s">
        <v>396</v>
      </c>
      <c r="I11" s="18" t="str">
        <f t="shared" si="0"/>
        <v/>
      </c>
      <c r="J11" s="13" t="str">
        <f t="shared" si="1"/>
        <v/>
      </c>
      <c r="K11" s="13" t="str">
        <f t="shared" si="2"/>
        <v/>
      </c>
      <c r="L11" s="13" t="s">
        <v>975</v>
      </c>
      <c r="M11" s="13"/>
    </row>
    <row r="12" spans="1:13" x14ac:dyDescent="0.3">
      <c r="A12" s="13" t="s">
        <v>43</v>
      </c>
      <c r="B12" s="13" t="s">
        <v>976</v>
      </c>
      <c r="C12" s="13" t="s">
        <v>959</v>
      </c>
      <c r="D12" s="13" t="s">
        <v>977</v>
      </c>
      <c r="E12" s="13" t="s">
        <v>961</v>
      </c>
      <c r="F12" s="13" t="s">
        <v>950</v>
      </c>
      <c r="G12" s="13" t="s">
        <v>966</v>
      </c>
      <c r="H12" s="24" t="s">
        <v>396</v>
      </c>
      <c r="I12" s="18" t="str">
        <f t="shared" si="0"/>
        <v/>
      </c>
      <c r="J12" s="13" t="str">
        <f t="shared" si="1"/>
        <v/>
      </c>
      <c r="K12" s="13" t="str">
        <f t="shared" si="2"/>
        <v/>
      </c>
      <c r="L12" s="13" t="s">
        <v>978</v>
      </c>
      <c r="M12" s="13"/>
    </row>
    <row r="13" spans="1:13" x14ac:dyDescent="0.3">
      <c r="A13" s="13" t="s">
        <v>43</v>
      </c>
      <c r="B13" s="13" t="s">
        <v>979</v>
      </c>
      <c r="C13" s="13" t="s">
        <v>959</v>
      </c>
      <c r="D13" s="13" t="s">
        <v>980</v>
      </c>
      <c r="E13" s="13" t="s">
        <v>961</v>
      </c>
      <c r="F13" s="13" t="s">
        <v>950</v>
      </c>
      <c r="G13" s="13"/>
      <c r="H13" s="24" t="s">
        <v>396</v>
      </c>
      <c r="I13" s="18" t="str">
        <f t="shared" si="0"/>
        <v/>
      </c>
      <c r="J13" s="13" t="str">
        <f t="shared" si="1"/>
        <v/>
      </c>
      <c r="K13" s="13" t="str">
        <f t="shared" si="2"/>
        <v/>
      </c>
      <c r="L13" s="13" t="s">
        <v>981</v>
      </c>
      <c r="M13" s="13" t="s">
        <v>982</v>
      </c>
    </row>
    <row r="14" spans="1:13" x14ac:dyDescent="0.3">
      <c r="A14" s="13" t="s">
        <v>43</v>
      </c>
      <c r="B14" s="13" t="s">
        <v>983</v>
      </c>
      <c r="C14" s="13" t="s">
        <v>223</v>
      </c>
      <c r="D14" s="13" t="s">
        <v>984</v>
      </c>
      <c r="E14" s="13" t="s">
        <v>105</v>
      </c>
      <c r="F14" s="13" t="s">
        <v>950</v>
      </c>
      <c r="G14" s="13"/>
      <c r="H14" s="24" t="s">
        <v>396</v>
      </c>
      <c r="I14" s="18" t="str">
        <f t="shared" si="0"/>
        <v/>
      </c>
      <c r="J14" s="13" t="str">
        <f t="shared" si="1"/>
        <v/>
      </c>
      <c r="K14" s="13" t="str">
        <f t="shared" si="2"/>
        <v/>
      </c>
      <c r="L14" s="13" t="s">
        <v>985</v>
      </c>
      <c r="M14" s="13"/>
    </row>
    <row r="15" spans="1:13" x14ac:dyDescent="0.3">
      <c r="A15" s="13" t="s">
        <v>43</v>
      </c>
      <c r="B15" s="13" t="s">
        <v>986</v>
      </c>
      <c r="C15" s="13" t="s">
        <v>222</v>
      </c>
      <c r="D15" s="13" t="s">
        <v>987</v>
      </c>
      <c r="E15" s="13" t="s">
        <v>105</v>
      </c>
      <c r="F15" s="13" t="s">
        <v>956</v>
      </c>
      <c r="G15" s="13"/>
      <c r="H15" s="24" t="s">
        <v>396</v>
      </c>
      <c r="I15" s="18" t="str">
        <f t="shared" si="0"/>
        <v/>
      </c>
      <c r="J15" s="13" t="str">
        <f t="shared" si="1"/>
        <v/>
      </c>
      <c r="K15" s="13" t="str">
        <f t="shared" si="2"/>
        <v/>
      </c>
      <c r="L15" s="13" t="s">
        <v>988</v>
      </c>
      <c r="M15" s="13"/>
    </row>
    <row r="16" spans="1:13" x14ac:dyDescent="0.3">
      <c r="A16" s="13" t="s">
        <v>43</v>
      </c>
      <c r="B16" s="13" t="s">
        <v>989</v>
      </c>
      <c r="C16" s="13" t="s">
        <v>990</v>
      </c>
      <c r="D16" s="13" t="s">
        <v>991</v>
      </c>
      <c r="E16" s="13" t="s">
        <v>85</v>
      </c>
      <c r="F16" s="13" t="s">
        <v>992</v>
      </c>
      <c r="G16" s="13" t="s">
        <v>993</v>
      </c>
      <c r="H16" s="24" t="s">
        <v>396</v>
      </c>
      <c r="I16" s="18" t="str">
        <f t="shared" si="0"/>
        <v/>
      </c>
      <c r="J16" s="13" t="str">
        <f t="shared" si="1"/>
        <v/>
      </c>
      <c r="K16" s="13" t="str">
        <f t="shared" si="2"/>
        <v/>
      </c>
      <c r="L16" s="13" t="s">
        <v>459</v>
      </c>
      <c r="M16" s="13"/>
    </row>
    <row r="17" spans="1:13" x14ac:dyDescent="0.3">
      <c r="A17" s="13" t="s">
        <v>43</v>
      </c>
      <c r="B17" s="13" t="s">
        <v>994</v>
      </c>
      <c r="C17" s="13" t="s">
        <v>995</v>
      </c>
      <c r="D17" s="13" t="s">
        <v>996</v>
      </c>
      <c r="E17" s="13" t="s">
        <v>85</v>
      </c>
      <c r="F17" s="13" t="s">
        <v>992</v>
      </c>
      <c r="G17" s="13" t="s">
        <v>993</v>
      </c>
      <c r="H17" s="24" t="s">
        <v>396</v>
      </c>
      <c r="I17" s="18" t="str">
        <f t="shared" si="0"/>
        <v/>
      </c>
      <c r="J17" s="13" t="str">
        <f t="shared" si="1"/>
        <v/>
      </c>
      <c r="K17" s="13" t="str">
        <f t="shared" si="2"/>
        <v/>
      </c>
      <c r="L17" s="13" t="s">
        <v>459</v>
      </c>
      <c r="M17" s="13"/>
    </row>
    <row r="18" spans="1:13" x14ac:dyDescent="0.3">
      <c r="A18" s="13" t="s">
        <v>43</v>
      </c>
      <c r="B18" s="13" t="s">
        <v>997</v>
      </c>
      <c r="C18" s="13" t="s">
        <v>959</v>
      </c>
      <c r="D18" s="13" t="s">
        <v>998</v>
      </c>
      <c r="E18" s="13" t="s">
        <v>961</v>
      </c>
      <c r="F18" s="13" t="s">
        <v>950</v>
      </c>
      <c r="G18" s="13"/>
      <c r="H18" s="24" t="s">
        <v>396</v>
      </c>
      <c r="I18" s="18" t="str">
        <f t="shared" si="0"/>
        <v/>
      </c>
      <c r="J18" s="13" t="str">
        <f t="shared" si="1"/>
        <v/>
      </c>
      <c r="K18" s="13" t="str">
        <f t="shared" si="2"/>
        <v/>
      </c>
      <c r="L18" s="13" t="s">
        <v>999</v>
      </c>
      <c r="M18" s="13"/>
    </row>
    <row r="19" spans="1:13" x14ac:dyDescent="0.3">
      <c r="A19" s="13" t="s">
        <v>43</v>
      </c>
      <c r="B19" s="13" t="s">
        <v>1000</v>
      </c>
      <c r="C19" s="13" t="s">
        <v>959</v>
      </c>
      <c r="D19" s="13" t="s">
        <v>1001</v>
      </c>
      <c r="E19" s="13" t="s">
        <v>961</v>
      </c>
      <c r="F19" s="13" t="s">
        <v>950</v>
      </c>
      <c r="G19" s="13"/>
      <c r="H19" s="24" t="s">
        <v>396</v>
      </c>
      <c r="I19" s="18" t="str">
        <f t="shared" si="0"/>
        <v/>
      </c>
      <c r="J19" s="13" t="str">
        <f t="shared" si="1"/>
        <v/>
      </c>
      <c r="K19" s="13" t="str">
        <f t="shared" si="2"/>
        <v/>
      </c>
      <c r="L19" s="13" t="s">
        <v>1002</v>
      </c>
      <c r="M19" s="13"/>
    </row>
    <row r="20" spans="1:13" x14ac:dyDescent="0.3">
      <c r="A20" s="13" t="s">
        <v>43</v>
      </c>
      <c r="B20" s="13" t="s">
        <v>1003</v>
      </c>
      <c r="C20" s="13" t="s">
        <v>1004</v>
      </c>
      <c r="D20" s="13" t="s">
        <v>1005</v>
      </c>
      <c r="E20" s="13" t="s">
        <v>74</v>
      </c>
      <c r="F20" s="13" t="s">
        <v>950</v>
      </c>
      <c r="G20" s="13"/>
      <c r="H20" s="24" t="s">
        <v>396</v>
      </c>
      <c r="I20" s="18" t="str">
        <f t="shared" si="0"/>
        <v/>
      </c>
      <c r="J20" s="13" t="str">
        <f t="shared" si="1"/>
        <v/>
      </c>
      <c r="K20" s="13" t="str">
        <f t="shared" si="2"/>
        <v/>
      </c>
      <c r="L20" s="13" t="s">
        <v>456</v>
      </c>
      <c r="M20" s="13"/>
    </row>
    <row r="21" spans="1:13" x14ac:dyDescent="0.3">
      <c r="A21" s="13" t="s">
        <v>43</v>
      </c>
      <c r="B21" s="13" t="s">
        <v>1006</v>
      </c>
      <c r="C21" s="13" t="s">
        <v>1007</v>
      </c>
      <c r="D21" s="13" t="s">
        <v>1008</v>
      </c>
      <c r="E21" s="13" t="s">
        <v>74</v>
      </c>
      <c r="F21" s="13" t="s">
        <v>956</v>
      </c>
      <c r="G21" s="13"/>
      <c r="H21" s="24" t="s">
        <v>396</v>
      </c>
      <c r="I21" s="18" t="str">
        <f t="shared" si="0"/>
        <v/>
      </c>
      <c r="J21" s="13" t="str">
        <f t="shared" si="1"/>
        <v/>
      </c>
      <c r="K21" s="13" t="str">
        <f t="shared" si="2"/>
        <v/>
      </c>
      <c r="L21" s="13" t="s">
        <v>456</v>
      </c>
      <c r="M21" s="13"/>
    </row>
    <row r="22" spans="1:13" x14ac:dyDescent="0.3">
      <c r="A22" s="13" t="s">
        <v>43</v>
      </c>
      <c r="B22" s="13" t="s">
        <v>1009</v>
      </c>
      <c r="C22" s="13" t="s">
        <v>1010</v>
      </c>
      <c r="D22" s="13" t="s">
        <v>1011</v>
      </c>
      <c r="E22" s="13" t="s">
        <v>74</v>
      </c>
      <c r="F22" s="13" t="s">
        <v>950</v>
      </c>
      <c r="G22" s="13"/>
      <c r="H22" s="24" t="s">
        <v>396</v>
      </c>
      <c r="I22" s="18" t="str">
        <f t="shared" si="0"/>
        <v/>
      </c>
      <c r="J22" s="13" t="str">
        <f t="shared" si="1"/>
        <v/>
      </c>
      <c r="K22" s="13" t="str">
        <f t="shared" si="2"/>
        <v/>
      </c>
      <c r="L22" s="13" t="s">
        <v>456</v>
      </c>
      <c r="M22" s="13"/>
    </row>
    <row r="23" spans="1:13" x14ac:dyDescent="0.3">
      <c r="A23" s="13" t="s">
        <v>43</v>
      </c>
      <c r="B23" s="13" t="s">
        <v>1012</v>
      </c>
      <c r="C23" s="13" t="s">
        <v>1013</v>
      </c>
      <c r="D23" s="13" t="s">
        <v>1014</v>
      </c>
      <c r="E23" s="13" t="s">
        <v>961</v>
      </c>
      <c r="F23" s="13" t="s">
        <v>956</v>
      </c>
      <c r="G23" s="13" t="s">
        <v>1015</v>
      </c>
      <c r="H23" s="24" t="s">
        <v>396</v>
      </c>
      <c r="I23" s="18" t="str">
        <f t="shared" si="0"/>
        <v/>
      </c>
      <c r="J23" s="13" t="str">
        <f t="shared" si="1"/>
        <v/>
      </c>
      <c r="K23" s="13" t="str">
        <f t="shared" si="2"/>
        <v/>
      </c>
      <c r="L23" s="13" t="s">
        <v>1016</v>
      </c>
      <c r="M23" s="13" t="s">
        <v>1017</v>
      </c>
    </row>
    <row r="24" spans="1:13" x14ac:dyDescent="0.3">
      <c r="A24" s="13" t="s">
        <v>43</v>
      </c>
      <c r="B24" s="13" t="s">
        <v>1018</v>
      </c>
      <c r="C24" s="13" t="s">
        <v>1013</v>
      </c>
      <c r="D24" s="13" t="s">
        <v>1019</v>
      </c>
      <c r="E24" s="13" t="s">
        <v>961</v>
      </c>
      <c r="F24" s="13" t="s">
        <v>956</v>
      </c>
      <c r="G24" s="13" t="s">
        <v>1015</v>
      </c>
      <c r="H24" s="24" t="s">
        <v>396</v>
      </c>
      <c r="I24" s="18" t="str">
        <f t="shared" si="0"/>
        <v/>
      </c>
      <c r="J24" s="13" t="str">
        <f t="shared" si="1"/>
        <v/>
      </c>
      <c r="K24" s="13" t="str">
        <f t="shared" si="2"/>
        <v/>
      </c>
      <c r="L24" s="13" t="s">
        <v>1020</v>
      </c>
      <c r="M24" s="13" t="s">
        <v>1021</v>
      </c>
    </row>
    <row r="25" spans="1:13" x14ac:dyDescent="0.3">
      <c r="A25" s="13" t="s">
        <v>43</v>
      </c>
      <c r="B25" s="13" t="s">
        <v>1022</v>
      </c>
      <c r="C25" s="13" t="s">
        <v>1013</v>
      </c>
      <c r="D25" s="13" t="s">
        <v>1023</v>
      </c>
      <c r="E25" s="13" t="s">
        <v>961</v>
      </c>
      <c r="F25" s="13" t="s">
        <v>956</v>
      </c>
      <c r="G25" s="13" t="s">
        <v>1015</v>
      </c>
      <c r="H25" s="24" t="s">
        <v>396</v>
      </c>
      <c r="I25" s="18" t="str">
        <f t="shared" si="0"/>
        <v/>
      </c>
      <c r="J25" s="13" t="str">
        <f t="shared" si="1"/>
        <v/>
      </c>
      <c r="K25" s="13" t="str">
        <f t="shared" si="2"/>
        <v/>
      </c>
      <c r="L25" s="13" t="s">
        <v>1024</v>
      </c>
      <c r="M25" s="13" t="s">
        <v>1021</v>
      </c>
    </row>
    <row r="26" spans="1:13" x14ac:dyDescent="0.3">
      <c r="A26" s="13" t="s">
        <v>43</v>
      </c>
      <c r="B26" s="13" t="s">
        <v>1025</v>
      </c>
      <c r="C26" s="13" t="s">
        <v>959</v>
      </c>
      <c r="D26" s="13" t="s">
        <v>1026</v>
      </c>
      <c r="E26" s="13" t="s">
        <v>961</v>
      </c>
      <c r="F26" s="13" t="s">
        <v>950</v>
      </c>
      <c r="G26" s="13"/>
      <c r="H26" s="24" t="s">
        <v>396</v>
      </c>
      <c r="I26" s="18" t="str">
        <f t="shared" si="0"/>
        <v/>
      </c>
      <c r="J26" s="13" t="str">
        <f t="shared" si="1"/>
        <v/>
      </c>
      <c r="K26" s="13" t="str">
        <f t="shared" si="2"/>
        <v/>
      </c>
      <c r="L26" s="13" t="s">
        <v>473</v>
      </c>
      <c r="M26" s="13"/>
    </row>
    <row r="27" spans="1:13" x14ac:dyDescent="0.3">
      <c r="A27" s="13" t="s">
        <v>43</v>
      </c>
      <c r="B27" s="13" t="s">
        <v>1027</v>
      </c>
      <c r="C27" s="13" t="s">
        <v>1028</v>
      </c>
      <c r="D27" s="13" t="s">
        <v>1029</v>
      </c>
      <c r="E27" s="13" t="s">
        <v>1030</v>
      </c>
      <c r="F27" s="13" t="s">
        <v>956</v>
      </c>
      <c r="G27" s="13"/>
      <c r="H27" s="24" t="s">
        <v>183</v>
      </c>
      <c r="I27" s="18">
        <f t="shared" si="0"/>
        <v>4</v>
      </c>
      <c r="J27" s="13" t="str">
        <f t="shared" si="1"/>
        <v>EXTI4</v>
      </c>
      <c r="K27" s="13" t="str">
        <f t="shared" si="2"/>
        <v>OK</v>
      </c>
      <c r="L27" s="13" t="s">
        <v>1031</v>
      </c>
      <c r="M27" s="13" t="s">
        <v>1032</v>
      </c>
    </row>
    <row r="28" spans="1:13" x14ac:dyDescent="0.3">
      <c r="A28" s="13" t="s">
        <v>43</v>
      </c>
      <c r="B28" s="13" t="s">
        <v>1033</v>
      </c>
      <c r="C28" s="13" t="s">
        <v>1028</v>
      </c>
      <c r="D28" s="13" t="s">
        <v>1034</v>
      </c>
      <c r="E28" s="13" t="s">
        <v>1030</v>
      </c>
      <c r="F28" s="13" t="s">
        <v>956</v>
      </c>
      <c r="G28" s="13"/>
      <c r="H28" s="24" t="s">
        <v>183</v>
      </c>
      <c r="I28" s="18">
        <f t="shared" si="0"/>
        <v>6</v>
      </c>
      <c r="J28" s="13" t="str">
        <f t="shared" si="1"/>
        <v>EXTI9_5</v>
      </c>
      <c r="K28" s="13" t="str">
        <f t="shared" si="2"/>
        <v>OK</v>
      </c>
      <c r="L28" s="13" t="s">
        <v>1035</v>
      </c>
      <c r="M28" s="13" t="s">
        <v>1036</v>
      </c>
    </row>
    <row r="29" spans="1:13" x14ac:dyDescent="0.3">
      <c r="A29" s="13" t="s">
        <v>43</v>
      </c>
      <c r="B29" s="13" t="s">
        <v>1037</v>
      </c>
      <c r="C29" s="13" t="s">
        <v>1013</v>
      </c>
      <c r="D29" s="13" t="s">
        <v>1038</v>
      </c>
      <c r="E29" s="13" t="s">
        <v>961</v>
      </c>
      <c r="F29" s="13" t="s">
        <v>956</v>
      </c>
      <c r="G29" s="13"/>
      <c r="H29" s="24" t="s">
        <v>396</v>
      </c>
      <c r="I29" s="18" t="str">
        <f t="shared" si="0"/>
        <v/>
      </c>
      <c r="J29" s="13" t="str">
        <f t="shared" si="1"/>
        <v/>
      </c>
      <c r="K29" s="13" t="str">
        <f t="shared" si="2"/>
        <v/>
      </c>
      <c r="L29" s="13" t="s">
        <v>1039</v>
      </c>
      <c r="M29" s="13"/>
    </row>
    <row r="30" spans="1:13" x14ac:dyDescent="0.3">
      <c r="A30" s="13" t="s">
        <v>43</v>
      </c>
      <c r="B30" s="13" t="s">
        <v>1040</v>
      </c>
      <c r="C30" s="13" t="s">
        <v>1041</v>
      </c>
      <c r="D30" s="13"/>
      <c r="E30" s="13" t="s">
        <v>124</v>
      </c>
      <c r="F30" s="13" t="s">
        <v>1042</v>
      </c>
      <c r="G30" s="13" t="s">
        <v>1043</v>
      </c>
      <c r="H30" s="24" t="s">
        <v>396</v>
      </c>
      <c r="I30" s="18" t="str">
        <f t="shared" si="0"/>
        <v/>
      </c>
      <c r="J30" s="13" t="str">
        <f t="shared" si="1"/>
        <v/>
      </c>
      <c r="K30" s="13" t="str">
        <f t="shared" si="2"/>
        <v/>
      </c>
      <c r="L30" s="13" t="s">
        <v>462</v>
      </c>
      <c r="M30" s="13"/>
    </row>
    <row r="31" spans="1:13" x14ac:dyDescent="0.3">
      <c r="A31" s="13" t="s">
        <v>43</v>
      </c>
      <c r="B31" s="13" t="s">
        <v>1044</v>
      </c>
      <c r="C31" s="13" t="s">
        <v>1045</v>
      </c>
      <c r="D31" s="13"/>
      <c r="E31" s="13" t="s">
        <v>124</v>
      </c>
      <c r="F31" s="13" t="s">
        <v>1042</v>
      </c>
      <c r="G31" s="13" t="s">
        <v>1043</v>
      </c>
      <c r="H31" s="24" t="s">
        <v>396</v>
      </c>
      <c r="I31" s="18" t="str">
        <f t="shared" si="0"/>
        <v/>
      </c>
      <c r="J31" s="13" t="str">
        <f t="shared" si="1"/>
        <v/>
      </c>
      <c r="K31" s="13" t="str">
        <f t="shared" si="2"/>
        <v/>
      </c>
      <c r="L31" s="13" t="s">
        <v>462</v>
      </c>
      <c r="M31" s="13"/>
    </row>
    <row r="32" spans="1:13" x14ac:dyDescent="0.3">
      <c r="A32" s="13" t="s">
        <v>43</v>
      </c>
      <c r="B32" s="13" t="s">
        <v>1046</v>
      </c>
      <c r="C32" s="13" t="s">
        <v>1047</v>
      </c>
      <c r="D32" s="13"/>
      <c r="E32" s="13" t="s">
        <v>124</v>
      </c>
      <c r="F32" s="13" t="s">
        <v>1042</v>
      </c>
      <c r="G32" s="13" t="s">
        <v>1043</v>
      </c>
      <c r="H32" s="24" t="s">
        <v>396</v>
      </c>
      <c r="I32" s="18" t="str">
        <f t="shared" si="0"/>
        <v/>
      </c>
      <c r="J32" s="13" t="str">
        <f t="shared" si="1"/>
        <v/>
      </c>
      <c r="K32" s="13" t="str">
        <f t="shared" si="2"/>
        <v/>
      </c>
      <c r="L32" s="13" t="s">
        <v>462</v>
      </c>
      <c r="M32" s="13"/>
    </row>
    <row r="33" spans="1:13" x14ac:dyDescent="0.3">
      <c r="A33" s="13" t="s">
        <v>43</v>
      </c>
      <c r="B33" s="13" t="s">
        <v>1048</v>
      </c>
      <c r="C33" s="13" t="s">
        <v>1049</v>
      </c>
      <c r="D33" s="13"/>
      <c r="E33" s="13" t="s">
        <v>124</v>
      </c>
      <c r="F33" s="13" t="s">
        <v>1042</v>
      </c>
      <c r="G33" s="13" t="s">
        <v>1043</v>
      </c>
      <c r="H33" s="24" t="s">
        <v>396</v>
      </c>
      <c r="I33" s="18" t="str">
        <f t="shared" si="0"/>
        <v/>
      </c>
      <c r="J33" s="13" t="str">
        <f t="shared" si="1"/>
        <v/>
      </c>
      <c r="K33" s="13" t="str">
        <f t="shared" si="2"/>
        <v/>
      </c>
      <c r="L33" s="13" t="s">
        <v>462</v>
      </c>
      <c r="M33" s="13"/>
    </row>
    <row r="34" spans="1:13" x14ac:dyDescent="0.3">
      <c r="A34" s="13" t="s">
        <v>43</v>
      </c>
      <c r="B34" s="13" t="s">
        <v>1050</v>
      </c>
      <c r="C34" s="13" t="s">
        <v>1051</v>
      </c>
      <c r="D34" s="13"/>
      <c r="E34" s="13" t="s">
        <v>124</v>
      </c>
      <c r="F34" s="13" t="s">
        <v>950</v>
      </c>
      <c r="G34" s="13"/>
      <c r="H34" s="24" t="s">
        <v>396</v>
      </c>
      <c r="I34" s="18" t="str">
        <f t="shared" si="0"/>
        <v/>
      </c>
      <c r="J34" s="13" t="str">
        <f t="shared" si="1"/>
        <v/>
      </c>
      <c r="K34" s="13" t="str">
        <f t="shared" si="2"/>
        <v/>
      </c>
      <c r="L34" s="13" t="s">
        <v>462</v>
      </c>
      <c r="M34" s="13"/>
    </row>
    <row r="35" spans="1:13" x14ac:dyDescent="0.3">
      <c r="A35" s="13" t="s">
        <v>43</v>
      </c>
      <c r="B35" s="13" t="s">
        <v>1052</v>
      </c>
      <c r="C35" s="13" t="s">
        <v>1053</v>
      </c>
      <c r="D35" s="13"/>
      <c r="E35" s="13" t="s">
        <v>124</v>
      </c>
      <c r="F35" s="13" t="s">
        <v>1042</v>
      </c>
      <c r="G35" s="13"/>
      <c r="H35" s="24" t="s">
        <v>396</v>
      </c>
      <c r="I35" s="18" t="str">
        <f t="shared" si="0"/>
        <v/>
      </c>
      <c r="J35" s="13" t="str">
        <f t="shared" si="1"/>
        <v/>
      </c>
      <c r="K35" s="13" t="str">
        <f t="shared" si="2"/>
        <v/>
      </c>
      <c r="L35" s="13" t="s">
        <v>462</v>
      </c>
      <c r="M35" s="13"/>
    </row>
    <row r="36" spans="1:13" x14ac:dyDescent="0.3">
      <c r="A36" s="13" t="s">
        <v>43</v>
      </c>
      <c r="B36" s="13" t="s">
        <v>1054</v>
      </c>
      <c r="C36" s="13" t="s">
        <v>1028</v>
      </c>
      <c r="D36" s="13" t="s">
        <v>287</v>
      </c>
      <c r="E36" s="13" t="s">
        <v>1030</v>
      </c>
      <c r="F36" s="13" t="s">
        <v>956</v>
      </c>
      <c r="G36" s="13"/>
      <c r="H36" s="24" t="s">
        <v>183</v>
      </c>
      <c r="I36" s="18">
        <f t="shared" si="0"/>
        <v>13</v>
      </c>
      <c r="J36" s="13" t="str">
        <f t="shared" si="1"/>
        <v>EXTI15_10</v>
      </c>
      <c r="K36" s="13" t="str">
        <f t="shared" si="2"/>
        <v>OK</v>
      </c>
      <c r="L36" s="13" t="s">
        <v>1055</v>
      </c>
      <c r="M36" s="13" t="s">
        <v>1056</v>
      </c>
    </row>
    <row r="37" spans="1:13" x14ac:dyDescent="0.3">
      <c r="A37" s="13" t="s">
        <v>43</v>
      </c>
      <c r="B37" s="13" t="s">
        <v>1057</v>
      </c>
      <c r="C37" s="13" t="s">
        <v>1058</v>
      </c>
      <c r="D37" s="13"/>
      <c r="E37" s="13" t="s">
        <v>1059</v>
      </c>
      <c r="F37" s="13" t="s">
        <v>1042</v>
      </c>
      <c r="G37" s="13"/>
      <c r="H37" s="24" t="s">
        <v>396</v>
      </c>
      <c r="I37" s="18" t="str">
        <f t="shared" si="0"/>
        <v/>
      </c>
      <c r="J37" s="13" t="str">
        <f t="shared" si="1"/>
        <v/>
      </c>
      <c r="K37" s="13" t="str">
        <f t="shared" si="2"/>
        <v/>
      </c>
      <c r="L37" s="13" t="s">
        <v>1060</v>
      </c>
      <c r="M37" s="13"/>
    </row>
    <row r="38" spans="1:13" x14ac:dyDescent="0.3">
      <c r="A38" s="13" t="s">
        <v>43</v>
      </c>
      <c r="B38" s="13" t="s">
        <v>1061</v>
      </c>
      <c r="C38" s="13" t="s">
        <v>1062</v>
      </c>
      <c r="D38" s="13"/>
      <c r="E38" s="13" t="s">
        <v>1059</v>
      </c>
      <c r="F38" s="13" t="s">
        <v>956</v>
      </c>
      <c r="G38" s="13"/>
      <c r="H38" s="24" t="s">
        <v>396</v>
      </c>
      <c r="I38" s="18" t="str">
        <f t="shared" ref="I38:I69" si="3">IF(H38="Y",VALUE(MID(B38,3,2)),"")</f>
        <v/>
      </c>
      <c r="J38" s="13" t="str">
        <f t="shared" ref="J38:J69" si="4">IF(H38&lt;&gt;"Y","",IF(A38="B1",IF(I38&lt;=4,"EXTI"&amp;I38,IF(I38&lt;=9,"EXTI9_5","EXTI15_10")),IF(I38&lt;=1,"EXTI0_1",IF(I38&lt;=3,"EXTI2_3","EXTI4_15"))))</f>
        <v/>
      </c>
      <c r="K38" s="13" t="str">
        <f t="shared" ref="K38:K68" si="5">IF(H38&lt;&gt;"Y","",IF(COUNTIFS($A$6:$A$68,A38,$I$6:$I$68,I38)&gt;1,"CONFLICT","OK"))</f>
        <v/>
      </c>
      <c r="L38" s="13" t="s">
        <v>1060</v>
      </c>
      <c r="M38" s="13"/>
    </row>
    <row r="39" spans="1:13" x14ac:dyDescent="0.3">
      <c r="A39" s="13" t="s">
        <v>43</v>
      </c>
      <c r="B39" s="13" t="s">
        <v>1063</v>
      </c>
      <c r="C39" s="13" t="s">
        <v>1064</v>
      </c>
      <c r="D39" s="13" t="s">
        <v>1065</v>
      </c>
      <c r="E39" s="13" t="s">
        <v>118</v>
      </c>
      <c r="F39" s="13"/>
      <c r="G39" s="13"/>
      <c r="H39" s="24" t="s">
        <v>396</v>
      </c>
      <c r="I39" s="18" t="str">
        <f t="shared" si="3"/>
        <v/>
      </c>
      <c r="J39" s="13" t="str">
        <f t="shared" si="4"/>
        <v/>
      </c>
      <c r="K39" s="13" t="str">
        <f t="shared" si="5"/>
        <v/>
      </c>
      <c r="L39" s="13"/>
      <c r="M39" s="13" t="s">
        <v>1066</v>
      </c>
    </row>
    <row r="40" spans="1:13" x14ac:dyDescent="0.3">
      <c r="A40" s="13" t="s">
        <v>47</v>
      </c>
      <c r="B40" s="13" t="s">
        <v>1067</v>
      </c>
      <c r="C40" s="13" t="s">
        <v>959</v>
      </c>
      <c r="D40" s="13" t="s">
        <v>1068</v>
      </c>
      <c r="E40" s="13" t="s">
        <v>961</v>
      </c>
      <c r="F40" s="13" t="s">
        <v>950</v>
      </c>
      <c r="G40" s="13"/>
      <c r="H40" s="24" t="s">
        <v>396</v>
      </c>
      <c r="I40" s="18" t="str">
        <f t="shared" si="3"/>
        <v/>
      </c>
      <c r="J40" s="13" t="str">
        <f t="shared" si="4"/>
        <v/>
      </c>
      <c r="K40" s="13" t="str">
        <f t="shared" si="5"/>
        <v/>
      </c>
      <c r="L40" s="13" t="s">
        <v>1069</v>
      </c>
      <c r="M40" s="13"/>
    </row>
    <row r="41" spans="1:13" x14ac:dyDescent="0.3">
      <c r="A41" s="13" t="s">
        <v>47</v>
      </c>
      <c r="B41" s="13" t="s">
        <v>1070</v>
      </c>
      <c r="C41" s="13" t="s">
        <v>1013</v>
      </c>
      <c r="D41" s="13" t="s">
        <v>1071</v>
      </c>
      <c r="E41" s="13" t="s">
        <v>961</v>
      </c>
      <c r="F41" s="13" t="s">
        <v>956</v>
      </c>
      <c r="G41" s="13"/>
      <c r="H41" s="24" t="s">
        <v>396</v>
      </c>
      <c r="I41" s="18" t="str">
        <f t="shared" si="3"/>
        <v/>
      </c>
      <c r="J41" s="13" t="str">
        <f t="shared" si="4"/>
        <v/>
      </c>
      <c r="K41" s="13" t="str">
        <f t="shared" si="5"/>
        <v/>
      </c>
      <c r="L41" s="13" t="s">
        <v>1072</v>
      </c>
      <c r="M41" s="13" t="s">
        <v>1073</v>
      </c>
    </row>
    <row r="42" spans="1:13" x14ac:dyDescent="0.3">
      <c r="A42" s="13" t="s">
        <v>47</v>
      </c>
      <c r="B42" s="13" t="s">
        <v>1074</v>
      </c>
      <c r="C42" s="13" t="s">
        <v>1013</v>
      </c>
      <c r="D42" s="13" t="s">
        <v>1075</v>
      </c>
      <c r="E42" s="13" t="s">
        <v>961</v>
      </c>
      <c r="F42" s="13" t="s">
        <v>956</v>
      </c>
      <c r="G42" s="13"/>
      <c r="H42" s="24" t="s">
        <v>396</v>
      </c>
      <c r="I42" s="18" t="str">
        <f t="shared" si="3"/>
        <v/>
      </c>
      <c r="J42" s="13" t="str">
        <f t="shared" si="4"/>
        <v/>
      </c>
      <c r="K42" s="13" t="str">
        <f t="shared" si="5"/>
        <v/>
      </c>
      <c r="L42" s="13" t="s">
        <v>1076</v>
      </c>
      <c r="M42" s="13"/>
    </row>
    <row r="43" spans="1:13" x14ac:dyDescent="0.3">
      <c r="A43" s="13" t="s">
        <v>47</v>
      </c>
      <c r="B43" s="13" t="s">
        <v>976</v>
      </c>
      <c r="C43" s="13" t="s">
        <v>1013</v>
      </c>
      <c r="D43" s="13" t="s">
        <v>1077</v>
      </c>
      <c r="E43" s="13" t="s">
        <v>961</v>
      </c>
      <c r="F43" s="13" t="s">
        <v>956</v>
      </c>
      <c r="G43" s="13"/>
      <c r="H43" s="24" t="s">
        <v>396</v>
      </c>
      <c r="I43" s="18" t="str">
        <f t="shared" si="3"/>
        <v/>
      </c>
      <c r="J43" s="13" t="str">
        <f t="shared" si="4"/>
        <v/>
      </c>
      <c r="K43" s="13" t="str">
        <f t="shared" si="5"/>
        <v/>
      </c>
      <c r="L43" s="13" t="s">
        <v>1078</v>
      </c>
      <c r="M43" s="13" t="s">
        <v>1079</v>
      </c>
    </row>
    <row r="44" spans="1:13" x14ac:dyDescent="0.3">
      <c r="A44" s="13" t="s">
        <v>47</v>
      </c>
      <c r="B44" s="13" t="s">
        <v>1080</v>
      </c>
      <c r="C44" s="13" t="s">
        <v>1013</v>
      </c>
      <c r="D44" s="13" t="s">
        <v>1081</v>
      </c>
      <c r="E44" s="13" t="s">
        <v>961</v>
      </c>
      <c r="F44" s="13" t="s">
        <v>956</v>
      </c>
      <c r="G44" s="13"/>
      <c r="H44" s="24" t="s">
        <v>396</v>
      </c>
      <c r="I44" s="18" t="str">
        <f t="shared" si="3"/>
        <v/>
      </c>
      <c r="J44" s="13" t="str">
        <f t="shared" si="4"/>
        <v/>
      </c>
      <c r="K44" s="13" t="str">
        <f t="shared" si="5"/>
        <v/>
      </c>
      <c r="L44" s="13" t="s">
        <v>1082</v>
      </c>
      <c r="M44" s="13" t="s">
        <v>1079</v>
      </c>
    </row>
    <row r="45" spans="1:13" x14ac:dyDescent="0.3">
      <c r="A45" s="13" t="s">
        <v>47</v>
      </c>
      <c r="B45" s="13" t="s">
        <v>1083</v>
      </c>
      <c r="C45" s="13" t="s">
        <v>1013</v>
      </c>
      <c r="D45" s="13" t="s">
        <v>622</v>
      </c>
      <c r="E45" s="13" t="s">
        <v>961</v>
      </c>
      <c r="F45" s="13" t="s">
        <v>956</v>
      </c>
      <c r="G45" s="13"/>
      <c r="H45" s="24" t="s">
        <v>396</v>
      </c>
      <c r="I45" s="18" t="str">
        <f t="shared" si="3"/>
        <v/>
      </c>
      <c r="J45" s="13" t="str">
        <f t="shared" si="4"/>
        <v/>
      </c>
      <c r="K45" s="13" t="str">
        <f t="shared" si="5"/>
        <v/>
      </c>
      <c r="L45" s="13" t="s">
        <v>1084</v>
      </c>
      <c r="M45" s="13" t="s">
        <v>1079</v>
      </c>
    </row>
    <row r="46" spans="1:13" x14ac:dyDescent="0.3">
      <c r="A46" s="13" t="s">
        <v>47</v>
      </c>
      <c r="B46" s="13" t="s">
        <v>997</v>
      </c>
      <c r="C46" s="13" t="s">
        <v>1013</v>
      </c>
      <c r="D46" s="13" t="s">
        <v>1085</v>
      </c>
      <c r="E46" s="13" t="s">
        <v>961</v>
      </c>
      <c r="F46" s="13" t="s">
        <v>956</v>
      </c>
      <c r="G46" s="13"/>
      <c r="H46" s="24" t="s">
        <v>396</v>
      </c>
      <c r="I46" s="18" t="str">
        <f t="shared" si="3"/>
        <v/>
      </c>
      <c r="J46" s="13" t="str">
        <f t="shared" si="4"/>
        <v/>
      </c>
      <c r="K46" s="13" t="str">
        <f t="shared" si="5"/>
        <v/>
      </c>
      <c r="L46" s="13" t="s">
        <v>1086</v>
      </c>
      <c r="M46" s="13"/>
    </row>
    <row r="47" spans="1:13" x14ac:dyDescent="0.3">
      <c r="A47" s="13" t="s">
        <v>47</v>
      </c>
      <c r="B47" s="13" t="s">
        <v>1000</v>
      </c>
      <c r="C47" s="13" t="s">
        <v>959</v>
      </c>
      <c r="D47" s="13" t="s">
        <v>1029</v>
      </c>
      <c r="E47" s="13" t="s">
        <v>961</v>
      </c>
      <c r="F47" s="13" t="s">
        <v>950</v>
      </c>
      <c r="G47" s="13"/>
      <c r="H47" s="24" t="s">
        <v>396</v>
      </c>
      <c r="I47" s="18" t="str">
        <f t="shared" si="3"/>
        <v/>
      </c>
      <c r="J47" s="13" t="str">
        <f t="shared" si="4"/>
        <v/>
      </c>
      <c r="K47" s="13" t="str">
        <f t="shared" si="5"/>
        <v/>
      </c>
      <c r="L47" s="13" t="s">
        <v>1087</v>
      </c>
      <c r="M47" s="13"/>
    </row>
    <row r="48" spans="1:13" x14ac:dyDescent="0.3">
      <c r="A48" s="13" t="s">
        <v>47</v>
      </c>
      <c r="B48" s="13" t="s">
        <v>1003</v>
      </c>
      <c r="C48" s="13" t="s">
        <v>1004</v>
      </c>
      <c r="D48" s="13" t="s">
        <v>1088</v>
      </c>
      <c r="E48" s="13" t="s">
        <v>74</v>
      </c>
      <c r="F48" s="13" t="s">
        <v>950</v>
      </c>
      <c r="G48" s="13"/>
      <c r="H48" s="24" t="s">
        <v>396</v>
      </c>
      <c r="I48" s="18" t="str">
        <f t="shared" si="3"/>
        <v/>
      </c>
      <c r="J48" s="13" t="str">
        <f t="shared" si="4"/>
        <v/>
      </c>
      <c r="K48" s="13" t="str">
        <f t="shared" si="5"/>
        <v/>
      </c>
      <c r="L48" s="13" t="s">
        <v>479</v>
      </c>
      <c r="M48" s="13"/>
    </row>
    <row r="49" spans="1:13" x14ac:dyDescent="0.3">
      <c r="A49" s="13" t="s">
        <v>47</v>
      </c>
      <c r="B49" s="13" t="s">
        <v>1006</v>
      </c>
      <c r="C49" s="13" t="s">
        <v>1007</v>
      </c>
      <c r="D49" s="13" t="s">
        <v>1089</v>
      </c>
      <c r="E49" s="13" t="s">
        <v>74</v>
      </c>
      <c r="F49" s="13" t="s">
        <v>956</v>
      </c>
      <c r="G49" s="13"/>
      <c r="H49" s="24" t="s">
        <v>396</v>
      </c>
      <c r="I49" s="18" t="str">
        <f t="shared" si="3"/>
        <v/>
      </c>
      <c r="J49" s="13" t="str">
        <f t="shared" si="4"/>
        <v/>
      </c>
      <c r="K49" s="13" t="str">
        <f t="shared" si="5"/>
        <v/>
      </c>
      <c r="L49" s="13" t="s">
        <v>479</v>
      </c>
      <c r="M49" s="13"/>
    </row>
    <row r="50" spans="1:13" x14ac:dyDescent="0.3">
      <c r="A50" s="13" t="s">
        <v>47</v>
      </c>
      <c r="B50" s="13" t="s">
        <v>1009</v>
      </c>
      <c r="C50" s="13" t="s">
        <v>1010</v>
      </c>
      <c r="D50" s="13" t="s">
        <v>1090</v>
      </c>
      <c r="E50" s="13" t="s">
        <v>74</v>
      </c>
      <c r="F50" s="13" t="s">
        <v>950</v>
      </c>
      <c r="G50" s="13"/>
      <c r="H50" s="24" t="s">
        <v>396</v>
      </c>
      <c r="I50" s="18" t="str">
        <f t="shared" si="3"/>
        <v/>
      </c>
      <c r="J50" s="13" t="str">
        <f t="shared" si="4"/>
        <v/>
      </c>
      <c r="K50" s="13" t="str">
        <f t="shared" si="5"/>
        <v/>
      </c>
      <c r="L50" s="13" t="s">
        <v>479</v>
      </c>
      <c r="M50" s="13"/>
    </row>
    <row r="51" spans="1:13" x14ac:dyDescent="0.3">
      <c r="A51" s="13" t="s">
        <v>47</v>
      </c>
      <c r="B51" s="13" t="s">
        <v>1091</v>
      </c>
      <c r="C51" s="13" t="s">
        <v>964</v>
      </c>
      <c r="D51" s="13" t="s">
        <v>1092</v>
      </c>
      <c r="E51" s="13" t="s">
        <v>95</v>
      </c>
      <c r="F51" s="13" t="s">
        <v>956</v>
      </c>
      <c r="G51" s="13"/>
      <c r="H51" s="24" t="s">
        <v>396</v>
      </c>
      <c r="I51" s="18" t="str">
        <f t="shared" si="3"/>
        <v/>
      </c>
      <c r="J51" s="13" t="str">
        <f t="shared" si="4"/>
        <v/>
      </c>
      <c r="K51" s="13" t="str">
        <f t="shared" si="5"/>
        <v/>
      </c>
      <c r="L51" s="13" t="s">
        <v>1093</v>
      </c>
      <c r="M51" s="13" t="s">
        <v>1094</v>
      </c>
    </row>
    <row r="52" spans="1:13" x14ac:dyDescent="0.3">
      <c r="A52" s="13" t="s">
        <v>47</v>
      </c>
      <c r="B52" s="13" t="s">
        <v>1095</v>
      </c>
      <c r="C52" s="13" t="s">
        <v>969</v>
      </c>
      <c r="D52" s="13" t="s">
        <v>1096</v>
      </c>
      <c r="E52" s="13" t="s">
        <v>95</v>
      </c>
      <c r="F52" s="13" t="s">
        <v>950</v>
      </c>
      <c r="G52" s="13" t="s">
        <v>966</v>
      </c>
      <c r="H52" s="24" t="s">
        <v>396</v>
      </c>
      <c r="I52" s="18" t="str">
        <f t="shared" si="3"/>
        <v/>
      </c>
      <c r="J52" s="13" t="str">
        <f t="shared" si="4"/>
        <v/>
      </c>
      <c r="K52" s="13" t="str">
        <f t="shared" si="5"/>
        <v/>
      </c>
      <c r="L52" s="13" t="s">
        <v>1097</v>
      </c>
      <c r="M52" s="13"/>
    </row>
    <row r="53" spans="1:13" x14ac:dyDescent="0.3">
      <c r="A53" s="13" t="s">
        <v>47</v>
      </c>
      <c r="B53" s="13" t="s">
        <v>979</v>
      </c>
      <c r="C53" s="13" t="s">
        <v>973</v>
      </c>
      <c r="D53" s="13" t="s">
        <v>1098</v>
      </c>
      <c r="E53" s="13" t="s">
        <v>95</v>
      </c>
      <c r="F53" s="13" t="s">
        <v>956</v>
      </c>
      <c r="G53" s="13"/>
      <c r="H53" s="24" t="s">
        <v>396</v>
      </c>
      <c r="I53" s="18" t="str">
        <f t="shared" si="3"/>
        <v/>
      </c>
      <c r="J53" s="13" t="str">
        <f t="shared" si="4"/>
        <v/>
      </c>
      <c r="K53" s="13" t="str">
        <f t="shared" si="5"/>
        <v/>
      </c>
      <c r="L53" s="13" t="s">
        <v>1099</v>
      </c>
      <c r="M53" s="13"/>
    </row>
    <row r="54" spans="1:13" ht="26.4" x14ac:dyDescent="0.3">
      <c r="A54" s="13" t="s">
        <v>47</v>
      </c>
      <c r="B54" s="13" t="s">
        <v>983</v>
      </c>
      <c r="C54" s="13" t="s">
        <v>1028</v>
      </c>
      <c r="D54" s="13" t="s">
        <v>1100</v>
      </c>
      <c r="E54" s="13" t="s">
        <v>1030</v>
      </c>
      <c r="F54" s="13" t="s">
        <v>956</v>
      </c>
      <c r="G54" s="13"/>
      <c r="H54" s="24" t="s">
        <v>183</v>
      </c>
      <c r="I54" s="18">
        <f t="shared" si="3"/>
        <v>6</v>
      </c>
      <c r="J54" s="13" t="str">
        <f t="shared" si="4"/>
        <v>EXTI4_15</v>
      </c>
      <c r="K54" s="13" t="str">
        <f t="shared" si="5"/>
        <v>CONFLICT</v>
      </c>
      <c r="L54" s="13" t="s">
        <v>1101</v>
      </c>
      <c r="M54" s="13" t="s">
        <v>1102</v>
      </c>
    </row>
    <row r="55" spans="1:13" ht="26.4" x14ac:dyDescent="0.3">
      <c r="A55" s="13" t="s">
        <v>47</v>
      </c>
      <c r="B55" s="13" t="s">
        <v>989</v>
      </c>
      <c r="C55" s="13" t="s">
        <v>1103</v>
      </c>
      <c r="D55" s="13" t="s">
        <v>1104</v>
      </c>
      <c r="E55" s="13" t="s">
        <v>147</v>
      </c>
      <c r="F55" s="13" t="s">
        <v>956</v>
      </c>
      <c r="G55" s="13"/>
      <c r="H55" s="24" t="s">
        <v>396</v>
      </c>
      <c r="I55" s="18" t="str">
        <f t="shared" si="3"/>
        <v/>
      </c>
      <c r="J55" s="13" t="str">
        <f t="shared" si="4"/>
        <v/>
      </c>
      <c r="K55" s="13" t="str">
        <f t="shared" si="5"/>
        <v/>
      </c>
      <c r="L55" s="13" t="s">
        <v>1105</v>
      </c>
      <c r="M55" s="13"/>
    </row>
    <row r="56" spans="1:13" ht="26.4" x14ac:dyDescent="0.3">
      <c r="A56" s="13" t="s">
        <v>47</v>
      </c>
      <c r="B56" s="13" t="s">
        <v>994</v>
      </c>
      <c r="C56" s="13" t="s">
        <v>1106</v>
      </c>
      <c r="D56" s="13" t="s">
        <v>1107</v>
      </c>
      <c r="E56" s="13" t="s">
        <v>147</v>
      </c>
      <c r="F56" s="13" t="s">
        <v>950</v>
      </c>
      <c r="G56" s="13" t="s">
        <v>966</v>
      </c>
      <c r="H56" s="24" t="s">
        <v>396</v>
      </c>
      <c r="I56" s="18" t="str">
        <f t="shared" si="3"/>
        <v/>
      </c>
      <c r="J56" s="13" t="str">
        <f t="shared" si="4"/>
        <v/>
      </c>
      <c r="K56" s="13" t="str">
        <f t="shared" si="5"/>
        <v/>
      </c>
      <c r="L56" s="13" t="s">
        <v>1108</v>
      </c>
      <c r="M56" s="13"/>
    </row>
    <row r="57" spans="1:13" ht="26.4" x14ac:dyDescent="0.3">
      <c r="A57" s="13" t="s">
        <v>47</v>
      </c>
      <c r="B57" s="13" t="s">
        <v>1033</v>
      </c>
      <c r="C57" s="13" t="s">
        <v>1028</v>
      </c>
      <c r="D57" s="13" t="s">
        <v>1109</v>
      </c>
      <c r="E57" s="13" t="s">
        <v>1030</v>
      </c>
      <c r="F57" s="13" t="s">
        <v>956</v>
      </c>
      <c r="G57" s="13"/>
      <c r="H57" s="24" t="s">
        <v>183</v>
      </c>
      <c r="I57" s="18">
        <f t="shared" si="3"/>
        <v>6</v>
      </c>
      <c r="J57" s="13" t="str">
        <f t="shared" si="4"/>
        <v>EXTI4_15</v>
      </c>
      <c r="K57" s="13" t="str">
        <f t="shared" si="5"/>
        <v>CONFLICT</v>
      </c>
      <c r="L57" s="13" t="s">
        <v>1110</v>
      </c>
      <c r="M57" s="13"/>
    </row>
    <row r="58" spans="1:13" x14ac:dyDescent="0.3">
      <c r="A58" s="13" t="s">
        <v>47</v>
      </c>
      <c r="B58" s="13" t="s">
        <v>1054</v>
      </c>
      <c r="C58" s="13" t="s">
        <v>959</v>
      </c>
      <c r="D58" s="13" t="s">
        <v>1111</v>
      </c>
      <c r="E58" s="13" t="s">
        <v>961</v>
      </c>
      <c r="F58" s="13" t="s">
        <v>950</v>
      </c>
      <c r="G58" s="13"/>
      <c r="H58" s="24" t="s">
        <v>396</v>
      </c>
      <c r="I58" s="18" t="str">
        <f t="shared" si="3"/>
        <v/>
      </c>
      <c r="J58" s="13" t="str">
        <f t="shared" si="4"/>
        <v/>
      </c>
      <c r="K58" s="13" t="str">
        <f t="shared" si="5"/>
        <v/>
      </c>
      <c r="L58" s="13" t="s">
        <v>482</v>
      </c>
      <c r="M58" s="13"/>
    </row>
    <row r="59" spans="1:13" x14ac:dyDescent="0.3">
      <c r="A59" s="13" t="s">
        <v>50</v>
      </c>
      <c r="B59" s="13" t="s">
        <v>1091</v>
      </c>
      <c r="C59" s="13" t="s">
        <v>959</v>
      </c>
      <c r="D59" s="13" t="s">
        <v>1112</v>
      </c>
      <c r="E59" s="13" t="s">
        <v>961</v>
      </c>
      <c r="F59" s="13" t="s">
        <v>950</v>
      </c>
      <c r="G59" s="13"/>
      <c r="H59" s="24" t="s">
        <v>396</v>
      </c>
      <c r="I59" s="18" t="str">
        <f t="shared" si="3"/>
        <v/>
      </c>
      <c r="J59" s="13" t="str">
        <f t="shared" si="4"/>
        <v/>
      </c>
      <c r="K59" s="13" t="str">
        <f t="shared" si="5"/>
        <v/>
      </c>
      <c r="L59" s="13" t="s">
        <v>1113</v>
      </c>
      <c r="M59" s="13"/>
    </row>
    <row r="60" spans="1:13" x14ac:dyDescent="0.3">
      <c r="A60" s="13" t="s">
        <v>50</v>
      </c>
      <c r="B60" s="13" t="s">
        <v>1095</v>
      </c>
      <c r="C60" s="13" t="s">
        <v>1114</v>
      </c>
      <c r="D60" s="13" t="s">
        <v>1115</v>
      </c>
      <c r="E60" s="13" t="s">
        <v>261</v>
      </c>
      <c r="F60" s="13" t="s">
        <v>956</v>
      </c>
      <c r="G60" s="13"/>
      <c r="H60" s="24" t="s">
        <v>396</v>
      </c>
      <c r="I60" s="18" t="str">
        <f t="shared" si="3"/>
        <v/>
      </c>
      <c r="J60" s="13" t="str">
        <f t="shared" si="4"/>
        <v/>
      </c>
      <c r="K60" s="13" t="str">
        <f t="shared" si="5"/>
        <v/>
      </c>
      <c r="L60" s="13" t="s">
        <v>1116</v>
      </c>
      <c r="M60" s="13" t="s">
        <v>1117</v>
      </c>
    </row>
    <row r="61" spans="1:13" ht="26.4" x14ac:dyDescent="0.3">
      <c r="A61" s="13" t="s">
        <v>50</v>
      </c>
      <c r="B61" s="13" t="s">
        <v>979</v>
      </c>
      <c r="C61" s="13" t="s">
        <v>959</v>
      </c>
      <c r="D61" s="13" t="s">
        <v>1118</v>
      </c>
      <c r="E61" s="13" t="s">
        <v>961</v>
      </c>
      <c r="F61" s="13" t="s">
        <v>950</v>
      </c>
      <c r="G61" s="13"/>
      <c r="H61" s="24" t="s">
        <v>396</v>
      </c>
      <c r="I61" s="18" t="str">
        <f t="shared" si="3"/>
        <v/>
      </c>
      <c r="J61" s="13" t="str">
        <f t="shared" si="4"/>
        <v/>
      </c>
      <c r="K61" s="13" t="str">
        <f t="shared" si="5"/>
        <v/>
      </c>
      <c r="L61" s="13" t="s">
        <v>1119</v>
      </c>
      <c r="M61" s="13"/>
    </row>
    <row r="62" spans="1:13" ht="26.4" x14ac:dyDescent="0.3">
      <c r="A62" s="13" t="s">
        <v>50</v>
      </c>
      <c r="B62" s="13" t="s">
        <v>983</v>
      </c>
      <c r="C62" s="13" t="s">
        <v>1120</v>
      </c>
      <c r="D62" s="13" t="s">
        <v>1121</v>
      </c>
      <c r="E62" s="13" t="s">
        <v>105</v>
      </c>
      <c r="F62" s="13" t="s">
        <v>956</v>
      </c>
      <c r="G62" s="13"/>
      <c r="H62" s="24" t="s">
        <v>396</v>
      </c>
      <c r="I62" s="18" t="str">
        <f t="shared" si="3"/>
        <v/>
      </c>
      <c r="J62" s="13" t="str">
        <f t="shared" si="4"/>
        <v/>
      </c>
      <c r="K62" s="13" t="str">
        <f t="shared" si="5"/>
        <v/>
      </c>
      <c r="L62" s="13" t="s">
        <v>490</v>
      </c>
      <c r="M62" s="13"/>
    </row>
    <row r="63" spans="1:13" ht="26.4" x14ac:dyDescent="0.3">
      <c r="A63" s="13" t="s">
        <v>50</v>
      </c>
      <c r="B63" s="13" t="s">
        <v>986</v>
      </c>
      <c r="C63" s="13" t="s">
        <v>1122</v>
      </c>
      <c r="D63" s="13" t="s">
        <v>1123</v>
      </c>
      <c r="E63" s="13" t="s">
        <v>105</v>
      </c>
      <c r="F63" s="13" t="s">
        <v>950</v>
      </c>
      <c r="G63" s="13"/>
      <c r="H63" s="24" t="s">
        <v>396</v>
      </c>
      <c r="I63" s="18" t="str">
        <f t="shared" si="3"/>
        <v/>
      </c>
      <c r="J63" s="13" t="str">
        <f t="shared" si="4"/>
        <v/>
      </c>
      <c r="K63" s="13" t="str">
        <f t="shared" si="5"/>
        <v/>
      </c>
      <c r="L63" s="13" t="s">
        <v>490</v>
      </c>
      <c r="M63" s="13"/>
    </row>
    <row r="64" spans="1:13" x14ac:dyDescent="0.3">
      <c r="A64" s="13" t="s">
        <v>50</v>
      </c>
      <c r="B64" s="13" t="s">
        <v>989</v>
      </c>
      <c r="C64" s="13" t="s">
        <v>990</v>
      </c>
      <c r="D64" s="13" t="s">
        <v>1124</v>
      </c>
      <c r="E64" s="13" t="s">
        <v>85</v>
      </c>
      <c r="F64" s="13" t="s">
        <v>992</v>
      </c>
      <c r="G64" s="13" t="s">
        <v>1125</v>
      </c>
      <c r="H64" s="24" t="s">
        <v>396</v>
      </c>
      <c r="I64" s="18" t="str">
        <f t="shared" si="3"/>
        <v/>
      </c>
      <c r="J64" s="13" t="str">
        <f t="shared" si="4"/>
        <v/>
      </c>
      <c r="K64" s="13" t="str">
        <f t="shared" si="5"/>
        <v/>
      </c>
      <c r="L64" s="13" t="s">
        <v>484</v>
      </c>
      <c r="M64" s="13"/>
    </row>
    <row r="65" spans="1:13" x14ac:dyDescent="0.3">
      <c r="A65" s="13" t="s">
        <v>50</v>
      </c>
      <c r="B65" s="13" t="s">
        <v>994</v>
      </c>
      <c r="C65" s="13" t="s">
        <v>995</v>
      </c>
      <c r="D65" s="13" t="s">
        <v>1126</v>
      </c>
      <c r="E65" s="13" t="s">
        <v>85</v>
      </c>
      <c r="F65" s="13" t="s">
        <v>992</v>
      </c>
      <c r="G65" s="13" t="s">
        <v>1125</v>
      </c>
      <c r="H65" s="24" t="s">
        <v>396</v>
      </c>
      <c r="I65" s="18" t="str">
        <f t="shared" si="3"/>
        <v/>
      </c>
      <c r="J65" s="13" t="str">
        <f t="shared" si="4"/>
        <v/>
      </c>
      <c r="K65" s="13" t="str">
        <f t="shared" si="5"/>
        <v/>
      </c>
      <c r="L65" s="13" t="s">
        <v>484</v>
      </c>
      <c r="M65" s="13"/>
    </row>
    <row r="66" spans="1:13" x14ac:dyDescent="0.3">
      <c r="A66" s="13" t="s">
        <v>50</v>
      </c>
      <c r="B66" s="13" t="s">
        <v>1054</v>
      </c>
      <c r="C66" s="13" t="s">
        <v>1028</v>
      </c>
      <c r="D66" s="13" t="s">
        <v>1127</v>
      </c>
      <c r="E66" s="13" t="s">
        <v>1030</v>
      </c>
      <c r="F66" s="13" t="s">
        <v>956</v>
      </c>
      <c r="G66" s="13"/>
      <c r="H66" s="24" t="s">
        <v>183</v>
      </c>
      <c r="I66" s="18">
        <f t="shared" si="3"/>
        <v>13</v>
      </c>
      <c r="J66" s="13" t="str">
        <f t="shared" si="4"/>
        <v>EXTI4_15</v>
      </c>
      <c r="K66" s="13" t="str">
        <f t="shared" si="5"/>
        <v>OK</v>
      </c>
      <c r="L66" s="13" t="s">
        <v>1128</v>
      </c>
      <c r="M66" s="13" t="s">
        <v>1129</v>
      </c>
    </row>
    <row r="67" spans="1:13" ht="26.4" x14ac:dyDescent="0.3">
      <c r="A67" s="13" t="s">
        <v>50</v>
      </c>
      <c r="B67" s="13" t="s">
        <v>1130</v>
      </c>
      <c r="C67" s="13" t="s">
        <v>1131</v>
      </c>
      <c r="D67" s="13" t="s">
        <v>1132</v>
      </c>
      <c r="E67" s="13" t="s">
        <v>961</v>
      </c>
      <c r="F67" s="13" t="s">
        <v>950</v>
      </c>
      <c r="G67" s="13" t="s">
        <v>1133</v>
      </c>
      <c r="H67" s="24" t="s">
        <v>396</v>
      </c>
      <c r="I67" s="18" t="str">
        <f t="shared" si="3"/>
        <v/>
      </c>
      <c r="J67" s="13" t="str">
        <f t="shared" si="4"/>
        <v/>
      </c>
      <c r="K67" s="13" t="str">
        <f t="shared" si="5"/>
        <v/>
      </c>
      <c r="L67" s="13" t="s">
        <v>1134</v>
      </c>
      <c r="M67" s="13"/>
    </row>
    <row r="68" spans="1:13" x14ac:dyDescent="0.3">
      <c r="A68" s="13" t="s">
        <v>50</v>
      </c>
      <c r="B68" s="13" t="s">
        <v>1135</v>
      </c>
      <c r="C68" s="13" t="s">
        <v>959</v>
      </c>
      <c r="D68" s="13" t="s">
        <v>1026</v>
      </c>
      <c r="E68" s="13" t="s">
        <v>961</v>
      </c>
      <c r="F68" s="13" t="s">
        <v>950</v>
      </c>
      <c r="G68" s="13"/>
      <c r="H68" s="24" t="s">
        <v>396</v>
      </c>
      <c r="I68" s="18" t="str">
        <f t="shared" si="3"/>
        <v/>
      </c>
      <c r="J68" s="13" t="str">
        <f t="shared" si="4"/>
        <v/>
      </c>
      <c r="K68" s="13" t="str">
        <f t="shared" si="5"/>
        <v/>
      </c>
      <c r="L68" s="13" t="s">
        <v>493</v>
      </c>
      <c r="M68" s="13"/>
    </row>
  </sheetData>
  <conditionalFormatting sqref="K6:K68">
    <cfRule type="expression" dxfId="5" priority="2">
      <formula>OR(LEFT(K6,8)="CONFLICT",LEFT(K6,7)="EXCEEDS",LEFT(K6,4)="OVER",LEFT(K6,5)="LIMIT",LEFT(K6,7)="INVALID",LEFT(K6,9)="VIOLATION",LEFT(K6,8)="BAUD ERR",LEFT(K6,4)="HIGH",LEFT(K6,5)="BELOW",LEFT(K6,4)="FAIL",LEFT(K6,7)="TOO BIG")</formula>
    </cfRule>
    <cfRule type="expression" dxfId="4" priority="3">
      <formula>OR(LEFT(K6,8)="MARGINAL",LEFT(K6,3)="MED",LEFT(K6,5)="CHECK",LEFT(K6,3)="TL:")</formula>
    </cfRule>
    <cfRule type="expression" dxfId="3" priority="4">
      <formula>LEFT(K6,2)="OK"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  <pageSetUpPr fitToPage="1"/>
  </sheetPr>
  <dimension ref="A1:H46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30" customWidth="1"/>
    <col min="3" max="3" width="10" customWidth="1"/>
    <col min="4" max="5" width="12" customWidth="1"/>
    <col min="6" max="7" width="10" customWidth="1"/>
    <col min="8" max="8" width="40" customWidth="1"/>
  </cols>
  <sheetData>
    <row r="1" spans="1:8" ht="17.399999999999999" x14ac:dyDescent="0.3">
      <c r="A1" s="1" t="s">
        <v>1136</v>
      </c>
    </row>
    <row r="2" spans="1:8" x14ac:dyDescent="0.3">
      <c r="A2" s="2" t="s">
        <v>1137</v>
      </c>
    </row>
    <row r="3" spans="1:8" x14ac:dyDescent="0.3">
      <c r="A3" s="2" t="s">
        <v>2</v>
      </c>
    </row>
    <row r="5" spans="1:8" x14ac:dyDescent="0.3">
      <c r="A5" s="5" t="s">
        <v>1138</v>
      </c>
      <c r="D5" s="54">
        <v>5</v>
      </c>
      <c r="E5" s="7" t="s">
        <v>1139</v>
      </c>
      <c r="F5" s="2" t="s">
        <v>1140</v>
      </c>
    </row>
    <row r="6" spans="1:8" x14ac:dyDescent="0.3">
      <c r="A6" s="5" t="s">
        <v>1141</v>
      </c>
      <c r="D6" s="74">
        <v>3</v>
      </c>
      <c r="E6" s="7" t="s">
        <v>1142</v>
      </c>
      <c r="F6" s="2" t="s">
        <v>1143</v>
      </c>
    </row>
    <row r="7" spans="1:8" x14ac:dyDescent="0.3">
      <c r="A7" s="5" t="s">
        <v>1144</v>
      </c>
      <c r="D7" s="74">
        <v>8</v>
      </c>
      <c r="E7" s="7" t="s">
        <v>1145</v>
      </c>
      <c r="F7" s="2" t="s">
        <v>1146</v>
      </c>
    </row>
    <row r="9" spans="1:8" ht="42" customHeight="1" x14ac:dyDescent="0.3">
      <c r="A9" s="12" t="s">
        <v>518</v>
      </c>
      <c r="B9" s="12" t="s">
        <v>1147</v>
      </c>
      <c r="C9" s="12" t="s">
        <v>1148</v>
      </c>
      <c r="D9" s="12" t="s">
        <v>1149</v>
      </c>
      <c r="E9" s="12" t="s">
        <v>1150</v>
      </c>
      <c r="F9" s="12" t="s">
        <v>1151</v>
      </c>
      <c r="G9" s="12" t="s">
        <v>1152</v>
      </c>
      <c r="H9" s="12" t="s">
        <v>42</v>
      </c>
    </row>
    <row r="10" spans="1:8" x14ac:dyDescent="0.3">
      <c r="A10" s="13" t="s">
        <v>1153</v>
      </c>
      <c r="B10" s="13" t="s">
        <v>1154</v>
      </c>
      <c r="C10" s="13" t="s">
        <v>1155</v>
      </c>
      <c r="D10" s="18">
        <v>1</v>
      </c>
      <c r="E10" s="24" t="s">
        <v>1156</v>
      </c>
      <c r="F10" s="75"/>
      <c r="G10" s="76">
        <f t="shared" ref="G10:G40" si="0">D10*NPanels*IF(F10="",0,F10)</f>
        <v>0</v>
      </c>
      <c r="H10" s="13"/>
    </row>
    <row r="11" spans="1:8" x14ac:dyDescent="0.3">
      <c r="A11" s="13" t="s">
        <v>1157</v>
      </c>
      <c r="B11" s="13" t="s">
        <v>1158</v>
      </c>
      <c r="C11" s="13" t="s">
        <v>1159</v>
      </c>
      <c r="D11" s="18">
        <v>4</v>
      </c>
      <c r="E11" s="24" t="s">
        <v>1160</v>
      </c>
      <c r="F11" s="75"/>
      <c r="G11" s="76">
        <f t="shared" si="0"/>
        <v>0</v>
      </c>
      <c r="H11" s="13"/>
    </row>
    <row r="12" spans="1:8" x14ac:dyDescent="0.3">
      <c r="A12" s="13" t="s">
        <v>1161</v>
      </c>
      <c r="B12" s="13" t="s">
        <v>1162</v>
      </c>
      <c r="C12" s="13" t="s">
        <v>1163</v>
      </c>
      <c r="D12" s="18">
        <v>1</v>
      </c>
      <c r="E12" s="24" t="s">
        <v>1160</v>
      </c>
      <c r="F12" s="75"/>
      <c r="G12" s="76">
        <f t="shared" si="0"/>
        <v>0</v>
      </c>
      <c r="H12" s="13"/>
    </row>
    <row r="13" spans="1:8" x14ac:dyDescent="0.3">
      <c r="A13" s="13" t="s">
        <v>1164</v>
      </c>
      <c r="B13" s="13" t="s">
        <v>1165</v>
      </c>
      <c r="C13" s="13" t="s">
        <v>1166</v>
      </c>
      <c r="D13" s="18">
        <v>7</v>
      </c>
      <c r="E13" s="24" t="s">
        <v>1160</v>
      </c>
      <c r="F13" s="75"/>
      <c r="G13" s="76">
        <f t="shared" si="0"/>
        <v>0</v>
      </c>
      <c r="H13" s="13"/>
    </row>
    <row r="14" spans="1:8" x14ac:dyDescent="0.3">
      <c r="A14" s="13" t="s">
        <v>1167</v>
      </c>
      <c r="B14" s="13" t="s">
        <v>471</v>
      </c>
      <c r="C14" s="13" t="s">
        <v>1168</v>
      </c>
      <c r="D14" s="18">
        <v>1</v>
      </c>
      <c r="E14" s="24" t="s">
        <v>1156</v>
      </c>
      <c r="F14" s="75"/>
      <c r="G14" s="76">
        <f t="shared" si="0"/>
        <v>0</v>
      </c>
      <c r="H14" s="13"/>
    </row>
    <row r="15" spans="1:8" x14ac:dyDescent="0.3">
      <c r="A15" s="13" t="s">
        <v>1169</v>
      </c>
      <c r="B15" s="13" t="s">
        <v>1170</v>
      </c>
      <c r="C15" s="13" t="s">
        <v>1171</v>
      </c>
      <c r="D15" s="18">
        <v>1</v>
      </c>
      <c r="E15" s="24" t="s">
        <v>1156</v>
      </c>
      <c r="F15" s="75"/>
      <c r="G15" s="76">
        <f t="shared" si="0"/>
        <v>0</v>
      </c>
      <c r="H15" s="13"/>
    </row>
    <row r="16" spans="1:8" x14ac:dyDescent="0.3">
      <c r="A16" s="13" t="s">
        <v>1172</v>
      </c>
      <c r="B16" s="13" t="s">
        <v>1173</v>
      </c>
      <c r="C16" s="13" t="s">
        <v>1174</v>
      </c>
      <c r="D16" s="18">
        <v>6</v>
      </c>
      <c r="E16" s="24" t="s">
        <v>1160</v>
      </c>
      <c r="F16" s="75"/>
      <c r="G16" s="76">
        <f t="shared" si="0"/>
        <v>0</v>
      </c>
      <c r="H16" s="13"/>
    </row>
    <row r="17" spans="1:8" x14ac:dyDescent="0.3">
      <c r="A17" s="13" t="s">
        <v>1175</v>
      </c>
      <c r="B17" s="13" t="s">
        <v>1176</v>
      </c>
      <c r="C17" s="13" t="s">
        <v>1177</v>
      </c>
      <c r="D17" s="18">
        <v>27</v>
      </c>
      <c r="E17" s="24" t="s">
        <v>1160</v>
      </c>
      <c r="F17" s="75"/>
      <c r="G17" s="76">
        <f t="shared" si="0"/>
        <v>0</v>
      </c>
      <c r="H17" s="13"/>
    </row>
    <row r="18" spans="1:8" x14ac:dyDescent="0.3">
      <c r="A18" s="13" t="s">
        <v>1178</v>
      </c>
      <c r="B18" s="13" t="s">
        <v>1179</v>
      </c>
      <c r="C18" s="13" t="s">
        <v>1180</v>
      </c>
      <c r="D18" s="18">
        <v>3</v>
      </c>
      <c r="E18" s="24" t="s">
        <v>1160</v>
      </c>
      <c r="F18" s="75"/>
      <c r="G18" s="76">
        <f t="shared" si="0"/>
        <v>0</v>
      </c>
      <c r="H18" s="13"/>
    </row>
    <row r="19" spans="1:8" x14ac:dyDescent="0.3">
      <c r="A19" s="13" t="s">
        <v>1181</v>
      </c>
      <c r="B19" s="13" t="s">
        <v>1182</v>
      </c>
      <c r="C19" s="13" t="s">
        <v>1183</v>
      </c>
      <c r="D19" s="18">
        <v>1</v>
      </c>
      <c r="E19" s="24" t="s">
        <v>1160</v>
      </c>
      <c r="F19" s="75"/>
      <c r="G19" s="76">
        <f t="shared" si="0"/>
        <v>0</v>
      </c>
      <c r="H19" s="13"/>
    </row>
    <row r="20" spans="1:8" x14ac:dyDescent="0.3">
      <c r="A20" s="13" t="s">
        <v>1184</v>
      </c>
      <c r="B20" s="13" t="s">
        <v>1185</v>
      </c>
      <c r="C20" s="13" t="s">
        <v>1186</v>
      </c>
      <c r="D20" s="18">
        <v>3</v>
      </c>
      <c r="E20" s="24" t="s">
        <v>1187</v>
      </c>
      <c r="F20" s="75"/>
      <c r="G20" s="76">
        <f t="shared" si="0"/>
        <v>0</v>
      </c>
      <c r="H20" s="13"/>
    </row>
    <row r="21" spans="1:8" x14ac:dyDescent="0.3">
      <c r="A21" s="13" t="s">
        <v>1188</v>
      </c>
      <c r="B21" s="13" t="s">
        <v>1189</v>
      </c>
      <c r="C21" s="13" t="s">
        <v>1190</v>
      </c>
      <c r="D21" s="18">
        <v>3</v>
      </c>
      <c r="E21" s="24" t="s">
        <v>1160</v>
      </c>
      <c r="F21" s="75"/>
      <c r="G21" s="76">
        <f t="shared" si="0"/>
        <v>0</v>
      </c>
      <c r="H21" s="13"/>
    </row>
    <row r="22" spans="1:8" x14ac:dyDescent="0.3">
      <c r="A22" s="13" t="s">
        <v>1191</v>
      </c>
      <c r="B22" s="13" t="s">
        <v>1192</v>
      </c>
      <c r="C22" s="13" t="s">
        <v>1193</v>
      </c>
      <c r="D22" s="18">
        <v>4</v>
      </c>
      <c r="E22" s="24" t="s">
        <v>1160</v>
      </c>
      <c r="F22" s="75"/>
      <c r="G22" s="76">
        <f t="shared" si="0"/>
        <v>0</v>
      </c>
      <c r="H22" s="13"/>
    </row>
    <row r="23" spans="1:8" x14ac:dyDescent="0.3">
      <c r="A23" s="13" t="s">
        <v>1194</v>
      </c>
      <c r="B23" s="13" t="s">
        <v>1195</v>
      </c>
      <c r="C23" s="13" t="s">
        <v>1196</v>
      </c>
      <c r="D23" s="18">
        <v>2</v>
      </c>
      <c r="E23" s="24" t="s">
        <v>1156</v>
      </c>
      <c r="F23" s="75"/>
      <c r="G23" s="76">
        <f t="shared" si="0"/>
        <v>0</v>
      </c>
      <c r="H23" s="13"/>
    </row>
    <row r="24" spans="1:8" x14ac:dyDescent="0.3">
      <c r="A24" s="13" t="s">
        <v>1197</v>
      </c>
      <c r="B24" s="13" t="s">
        <v>1198</v>
      </c>
      <c r="C24" s="13" t="s">
        <v>1199</v>
      </c>
      <c r="D24" s="18">
        <v>2</v>
      </c>
      <c r="E24" s="24" t="s">
        <v>1156</v>
      </c>
      <c r="F24" s="75"/>
      <c r="G24" s="76">
        <f t="shared" si="0"/>
        <v>0</v>
      </c>
      <c r="H24" s="13"/>
    </row>
    <row r="25" spans="1:8" x14ac:dyDescent="0.3">
      <c r="A25" s="13" t="s">
        <v>1200</v>
      </c>
      <c r="B25" s="13" t="s">
        <v>1201</v>
      </c>
      <c r="C25" s="13" t="s">
        <v>1202</v>
      </c>
      <c r="D25" s="18">
        <v>3</v>
      </c>
      <c r="E25" s="24" t="s">
        <v>1160</v>
      </c>
      <c r="F25" s="75"/>
      <c r="G25" s="76">
        <f t="shared" si="0"/>
        <v>0</v>
      </c>
      <c r="H25" s="13"/>
    </row>
    <row r="26" spans="1:8" x14ac:dyDescent="0.3">
      <c r="A26" s="13" t="s">
        <v>1203</v>
      </c>
      <c r="B26" s="13" t="s">
        <v>1204</v>
      </c>
      <c r="C26" s="13" t="s">
        <v>1205</v>
      </c>
      <c r="D26" s="18">
        <v>2</v>
      </c>
      <c r="E26" s="24" t="s">
        <v>1160</v>
      </c>
      <c r="F26" s="75"/>
      <c r="G26" s="76">
        <f t="shared" si="0"/>
        <v>0</v>
      </c>
      <c r="H26" s="13"/>
    </row>
    <row r="27" spans="1:8" x14ac:dyDescent="0.3">
      <c r="A27" s="13" t="s">
        <v>1206</v>
      </c>
      <c r="B27" s="13" t="s">
        <v>1207</v>
      </c>
      <c r="C27" s="13" t="s">
        <v>1208</v>
      </c>
      <c r="D27" s="18">
        <v>1</v>
      </c>
      <c r="E27" s="24" t="s">
        <v>1187</v>
      </c>
      <c r="F27" s="75"/>
      <c r="G27" s="76">
        <f t="shared" si="0"/>
        <v>0</v>
      </c>
      <c r="H27" s="13"/>
    </row>
    <row r="28" spans="1:8" x14ac:dyDescent="0.3">
      <c r="A28" s="13" t="s">
        <v>1209</v>
      </c>
      <c r="B28" s="13" t="s">
        <v>1210</v>
      </c>
      <c r="C28" s="13" t="s">
        <v>1211</v>
      </c>
      <c r="D28" s="18">
        <v>2</v>
      </c>
      <c r="E28" s="24" t="s">
        <v>1160</v>
      </c>
      <c r="F28" s="75"/>
      <c r="G28" s="76">
        <f t="shared" si="0"/>
        <v>0</v>
      </c>
      <c r="H28" s="13"/>
    </row>
    <row r="29" spans="1:8" x14ac:dyDescent="0.3">
      <c r="A29" s="13" t="s">
        <v>1212</v>
      </c>
      <c r="B29" s="13" t="s">
        <v>1213</v>
      </c>
      <c r="C29" s="13" t="s">
        <v>1214</v>
      </c>
      <c r="D29" s="18">
        <v>1</v>
      </c>
      <c r="E29" s="24" t="s">
        <v>1187</v>
      </c>
      <c r="F29" s="75"/>
      <c r="G29" s="76">
        <f t="shared" si="0"/>
        <v>0</v>
      </c>
      <c r="H29" s="13" t="s">
        <v>1215</v>
      </c>
    </row>
    <row r="30" spans="1:8" x14ac:dyDescent="0.3">
      <c r="A30" s="13" t="s">
        <v>1216</v>
      </c>
      <c r="B30" s="13" t="s">
        <v>1217</v>
      </c>
      <c r="C30" s="13" t="s">
        <v>1218</v>
      </c>
      <c r="D30" s="18">
        <v>3</v>
      </c>
      <c r="E30" s="24" t="s">
        <v>1160</v>
      </c>
      <c r="F30" s="75"/>
      <c r="G30" s="76">
        <f t="shared" si="0"/>
        <v>0</v>
      </c>
      <c r="H30" s="13"/>
    </row>
    <row r="31" spans="1:8" x14ac:dyDescent="0.3">
      <c r="A31" s="13" t="s">
        <v>1219</v>
      </c>
      <c r="B31" s="13" t="s">
        <v>931</v>
      </c>
      <c r="C31" s="13" t="s">
        <v>1220</v>
      </c>
      <c r="D31" s="18">
        <v>1</v>
      </c>
      <c r="E31" s="24" t="s">
        <v>1160</v>
      </c>
      <c r="F31" s="75"/>
      <c r="G31" s="76">
        <f t="shared" si="0"/>
        <v>0</v>
      </c>
      <c r="H31" s="13"/>
    </row>
    <row r="32" spans="1:8" x14ac:dyDescent="0.3">
      <c r="A32" s="13" t="s">
        <v>1221</v>
      </c>
      <c r="B32" s="13" t="s">
        <v>928</v>
      </c>
      <c r="C32" s="13" t="s">
        <v>1222</v>
      </c>
      <c r="D32" s="18">
        <v>1</v>
      </c>
      <c r="E32" s="24" t="s">
        <v>1223</v>
      </c>
      <c r="F32" s="75"/>
      <c r="G32" s="76">
        <f t="shared" si="0"/>
        <v>0</v>
      </c>
      <c r="H32" s="13"/>
    </row>
    <row r="33" spans="1:8" x14ac:dyDescent="0.3">
      <c r="A33" s="13" t="s">
        <v>480</v>
      </c>
      <c r="B33" s="13" t="s">
        <v>479</v>
      </c>
      <c r="C33" s="13" t="s">
        <v>1224</v>
      </c>
      <c r="D33" s="18">
        <v>1</v>
      </c>
      <c r="E33" s="24" t="s">
        <v>1223</v>
      </c>
      <c r="F33" s="75"/>
      <c r="G33" s="76">
        <f t="shared" si="0"/>
        <v>0</v>
      </c>
      <c r="H33" s="13"/>
    </row>
    <row r="34" spans="1:8" x14ac:dyDescent="0.3">
      <c r="A34" s="13" t="s">
        <v>1225</v>
      </c>
      <c r="B34" s="13" t="s">
        <v>1226</v>
      </c>
      <c r="C34" s="13" t="s">
        <v>1227</v>
      </c>
      <c r="D34" s="18">
        <v>3</v>
      </c>
      <c r="E34" s="24" t="s">
        <v>1160</v>
      </c>
      <c r="F34" s="75"/>
      <c r="G34" s="76">
        <f t="shared" si="0"/>
        <v>0</v>
      </c>
      <c r="H34" s="13"/>
    </row>
    <row r="35" spans="1:8" x14ac:dyDescent="0.3">
      <c r="A35" s="13" t="s">
        <v>457</v>
      </c>
      <c r="B35" s="13" t="s">
        <v>456</v>
      </c>
      <c r="C35" s="13" t="s">
        <v>1228</v>
      </c>
      <c r="D35" s="18">
        <v>1</v>
      </c>
      <c r="E35" s="24" t="s">
        <v>1223</v>
      </c>
      <c r="F35" s="75"/>
      <c r="G35" s="76">
        <f t="shared" si="0"/>
        <v>0</v>
      </c>
      <c r="H35" s="13"/>
    </row>
    <row r="36" spans="1:8" x14ac:dyDescent="0.3">
      <c r="A36" s="13" t="s">
        <v>460</v>
      </c>
      <c r="B36" s="13" t="s">
        <v>459</v>
      </c>
      <c r="C36" s="13" t="s">
        <v>1229</v>
      </c>
      <c r="D36" s="18">
        <v>1</v>
      </c>
      <c r="E36" s="24" t="s">
        <v>1223</v>
      </c>
      <c r="F36" s="75"/>
      <c r="G36" s="76">
        <f t="shared" si="0"/>
        <v>0</v>
      </c>
      <c r="H36" s="13"/>
    </row>
    <row r="37" spans="1:8" x14ac:dyDescent="0.3">
      <c r="A37" s="13" t="s">
        <v>1230</v>
      </c>
      <c r="B37" s="13" t="s">
        <v>462</v>
      </c>
      <c r="C37" s="13" t="s">
        <v>1231</v>
      </c>
      <c r="D37" s="18">
        <v>1</v>
      </c>
      <c r="E37" s="24" t="s">
        <v>1223</v>
      </c>
      <c r="F37" s="75"/>
      <c r="G37" s="76">
        <f t="shared" si="0"/>
        <v>0</v>
      </c>
      <c r="H37" s="13"/>
    </row>
    <row r="38" spans="1:8" x14ac:dyDescent="0.3">
      <c r="A38" s="13" t="s">
        <v>1232</v>
      </c>
      <c r="B38" s="13" t="s">
        <v>1233</v>
      </c>
      <c r="C38" s="13" t="s">
        <v>1234</v>
      </c>
      <c r="D38" s="18">
        <v>2</v>
      </c>
      <c r="E38" s="24" t="s">
        <v>1160</v>
      </c>
      <c r="F38" s="75"/>
      <c r="G38" s="76">
        <f t="shared" si="0"/>
        <v>0</v>
      </c>
      <c r="H38" s="13"/>
    </row>
    <row r="39" spans="1:8" x14ac:dyDescent="0.3">
      <c r="A39" s="13" t="s">
        <v>1235</v>
      </c>
      <c r="B39" s="13" t="s">
        <v>453</v>
      </c>
      <c r="C39" s="13" t="s">
        <v>1236</v>
      </c>
      <c r="D39" s="18">
        <v>1</v>
      </c>
      <c r="E39" s="24" t="s">
        <v>1223</v>
      </c>
      <c r="F39" s="75"/>
      <c r="G39" s="76">
        <f t="shared" si="0"/>
        <v>0</v>
      </c>
      <c r="H39" s="13"/>
    </row>
    <row r="40" spans="1:8" x14ac:dyDescent="0.3">
      <c r="A40" s="13" t="s">
        <v>1237</v>
      </c>
      <c r="B40" s="13" t="s">
        <v>1238</v>
      </c>
      <c r="C40" s="13" t="s">
        <v>1239</v>
      </c>
      <c r="D40" s="18">
        <v>2</v>
      </c>
      <c r="E40" s="24" t="s">
        <v>1223</v>
      </c>
      <c r="F40" s="75"/>
      <c r="G40" s="76">
        <f t="shared" si="0"/>
        <v>0</v>
      </c>
      <c r="H40" s="13"/>
    </row>
    <row r="42" spans="1:8" x14ac:dyDescent="0.3">
      <c r="A42" s="5" t="s">
        <v>1240</v>
      </c>
      <c r="D42" s="77">
        <f>COUNTIF(E10:E40,"Extended")</f>
        <v>7</v>
      </c>
      <c r="E42" s="7"/>
      <c r="F42" s="2" t="s">
        <v>1241</v>
      </c>
    </row>
    <row r="43" spans="1:8" x14ac:dyDescent="0.3">
      <c r="A43" s="5" t="s">
        <v>1242</v>
      </c>
      <c r="D43" s="78">
        <f>D42*ExtFee</f>
        <v>21</v>
      </c>
      <c r="E43" s="7" t="s">
        <v>1145</v>
      </c>
      <c r="F43" s="2"/>
    </row>
    <row r="44" spans="1:8" x14ac:dyDescent="0.3">
      <c r="A44" s="5" t="s">
        <v>1243</v>
      </c>
      <c r="D44" s="78">
        <f>SUM(G10:G40)</f>
        <v>0</v>
      </c>
      <c r="E44" s="7" t="s">
        <v>1145</v>
      </c>
      <c r="F44" s="2" t="s">
        <v>1244</v>
      </c>
    </row>
    <row r="45" spans="1:8" x14ac:dyDescent="0.3">
      <c r="A45" s="5" t="s">
        <v>1245</v>
      </c>
      <c r="D45" s="78">
        <f>D43+D44+SetupFee</f>
        <v>29</v>
      </c>
      <c r="E45" s="7" t="s">
        <v>1145</v>
      </c>
      <c r="F45" s="2"/>
    </row>
    <row r="46" spans="1:8" x14ac:dyDescent="0.3">
      <c r="A46" s="5" t="s">
        <v>1246</v>
      </c>
      <c r="D46" s="77">
        <f>COUNTBLANK(F10:F40)</f>
        <v>31</v>
      </c>
      <c r="E46" s="7"/>
      <c r="F46" s="2"/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  <pageSetUpPr fitToPage="1"/>
  </sheetPr>
  <dimension ref="A1:E36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2" width="24" customWidth="1"/>
    <col min="3" max="3" width="70" customWidth="1"/>
    <col min="4" max="4" width="26" customWidth="1"/>
  </cols>
  <sheetData>
    <row r="1" spans="1:5" ht="17.399999999999999" x14ac:dyDescent="0.3">
      <c r="A1" s="1" t="s">
        <v>1247</v>
      </c>
    </row>
    <row r="2" spans="1:5" x14ac:dyDescent="0.3">
      <c r="A2" s="2" t="s">
        <v>1248</v>
      </c>
    </row>
    <row r="3" spans="1:5" x14ac:dyDescent="0.3">
      <c r="A3" s="2" t="s">
        <v>2</v>
      </c>
    </row>
    <row r="5" spans="1:5" x14ac:dyDescent="0.3">
      <c r="A5" s="3" t="s">
        <v>1249</v>
      </c>
      <c r="B5" s="4"/>
      <c r="C5" s="4"/>
      <c r="D5" s="4"/>
      <c r="E5" s="4"/>
    </row>
    <row r="6" spans="1:5" ht="42" customHeight="1" x14ac:dyDescent="0.3">
      <c r="A6" s="12" t="s">
        <v>517</v>
      </c>
      <c r="B6" s="12" t="s">
        <v>518</v>
      </c>
      <c r="C6" s="12" t="s">
        <v>41</v>
      </c>
      <c r="D6" s="12" t="s">
        <v>1250</v>
      </c>
    </row>
    <row r="7" spans="1:5" x14ac:dyDescent="0.3">
      <c r="A7" s="13" t="s">
        <v>1251</v>
      </c>
      <c r="B7" s="79">
        <f>LoopHz</f>
        <v>1000</v>
      </c>
      <c r="C7" s="37" t="str">
        <f>IF(LoopHz&gt;=LoopMinHz,"OK","BELOW MIN")</f>
        <v>OK</v>
      </c>
      <c r="D7" s="13" t="s">
        <v>1252</v>
      </c>
    </row>
    <row r="8" spans="1:5" x14ac:dyDescent="0.3">
      <c r="A8" s="13" t="s">
        <v>1253</v>
      </c>
      <c r="B8" s="79">
        <f>COUNTIF(DMA_Conf,"CONFLICT")/2</f>
        <v>1</v>
      </c>
      <c r="C8" s="13" t="str">
        <f>IF(B8=0,"OK","CONFLICT")</f>
        <v>CONFLICT</v>
      </c>
      <c r="D8" s="13" t="s">
        <v>1254</v>
      </c>
    </row>
    <row r="9" spans="1:5" x14ac:dyDescent="0.3">
      <c r="A9" s="13" t="s">
        <v>1255</v>
      </c>
      <c r="B9" s="79">
        <f>COUNTIF(SW_Timing_Budgets!$N$24:$N$34,"&lt;&gt;OK")</f>
        <v>0</v>
      </c>
      <c r="C9" s="13" t="str">
        <f>IF(B9=0,"OK","OVER")</f>
        <v>OK</v>
      </c>
      <c r="D9" s="13" t="s">
        <v>1256</v>
      </c>
    </row>
    <row r="10" spans="1:5" x14ac:dyDescent="0.3">
      <c r="A10" s="13" t="s">
        <v>1257</v>
      </c>
      <c r="B10" s="36">
        <f>MAX(BUS_Util)</f>
        <v>0.48559999999999998</v>
      </c>
      <c r="C10" s="37" t="str">
        <f>IF(B10&lt;=MaxBusUtil,"OK","OVER")</f>
        <v>OK</v>
      </c>
      <c r="D10" s="13" t="s">
        <v>1258</v>
      </c>
    </row>
    <row r="11" spans="1:5" x14ac:dyDescent="0.3">
      <c r="A11" s="13" t="s">
        <v>1259</v>
      </c>
      <c r="B11" s="36">
        <f>INDEX(CPU_Util,MATCH("B1",CPU_Board,0))</f>
        <v>1.2112990234375001</v>
      </c>
      <c r="C11" s="37" t="str">
        <f>IF(B11&lt;=MaxCpuUtil,"OK","OVER")</f>
        <v>OVER</v>
      </c>
      <c r="D11" s="13" t="s">
        <v>1260</v>
      </c>
    </row>
    <row r="12" spans="1:5" x14ac:dyDescent="0.3">
      <c r="A12" s="13" t="s">
        <v>1261</v>
      </c>
      <c r="B12" s="36">
        <f>INDEX(CPU_Util,MATCH("B2",CPU_Board,0))</f>
        <v>0.198125</v>
      </c>
      <c r="C12" s="37" t="str">
        <f>IF(B12&lt;=MaxCpuUtil,"OK","OVER")</f>
        <v>OK</v>
      </c>
      <c r="D12" s="13" t="s">
        <v>1260</v>
      </c>
    </row>
    <row r="13" spans="1:5" x14ac:dyDescent="0.3">
      <c r="A13" s="13" t="s">
        <v>1262</v>
      </c>
      <c r="B13" s="36">
        <f>INDEX(CPU_Util,MATCH("B3",CPU_Board,0))</f>
        <v>0.10023597045898437</v>
      </c>
      <c r="C13" s="37" t="str">
        <f>IF(B13&lt;=MaxCpuUtil,"OK","OVER")</f>
        <v>OK</v>
      </c>
      <c r="D13" s="13" t="s">
        <v>1260</v>
      </c>
    </row>
    <row r="14" spans="1:5" x14ac:dyDescent="0.3">
      <c r="A14" s="13" t="s">
        <v>1263</v>
      </c>
      <c r="B14" s="79">
        <f>INDEX(TLS_CPUw,MATCH("B1",TLS_Board,0))</f>
        <v>1325</v>
      </c>
      <c r="C14" s="37" t="str">
        <f>IF(B14&lt;=LoopUs,"OK","OVER")</f>
        <v>OVER</v>
      </c>
      <c r="D14" s="13" t="s">
        <v>1264</v>
      </c>
    </row>
    <row r="15" spans="1:5" x14ac:dyDescent="0.3">
      <c r="A15" s="13" t="s">
        <v>1265</v>
      </c>
      <c r="B15" s="79">
        <f>MAX(TLS_Busw)</f>
        <v>1040</v>
      </c>
      <c r="C15" s="37" t="str">
        <f>IF(B15&lt;=LoopUs,"OK","OVER")</f>
        <v>OVER</v>
      </c>
      <c r="D15" s="13" t="s">
        <v>1258</v>
      </c>
    </row>
    <row r="16" spans="1:5" x14ac:dyDescent="0.3">
      <c r="A16" s="13" t="s">
        <v>1266</v>
      </c>
      <c r="B16" s="79">
        <f>Irail_typ</f>
        <v>45.613468928599296</v>
      </c>
      <c r="C16" s="13" t="str">
        <f>"—"</f>
        <v>—</v>
      </c>
      <c r="D16" s="13" t="s">
        <v>1267</v>
      </c>
    </row>
    <row r="17" spans="1:5" x14ac:dyDescent="0.3">
      <c r="A17" s="13" t="s">
        <v>1268</v>
      </c>
      <c r="B17" s="79">
        <f>Ibat_typ_nom</f>
        <v>23.952754763812028</v>
      </c>
      <c r="C17" s="13" t="str">
        <f>"—"</f>
        <v>—</v>
      </c>
      <c r="D17" s="13" t="s">
        <v>1269</v>
      </c>
    </row>
    <row r="18" spans="1:5" x14ac:dyDescent="0.3">
      <c r="A18" s="13" t="s">
        <v>1270</v>
      </c>
      <c r="B18" s="79">
        <f>Bat_mAh*Bat_use/Ibat_typ_nom</f>
        <v>66.798162289762601</v>
      </c>
      <c r="C18" s="13" t="str">
        <f>"—"</f>
        <v>—</v>
      </c>
      <c r="D18" s="13" t="s">
        <v>1269</v>
      </c>
    </row>
    <row r="19" spans="1:5" x14ac:dyDescent="0.3">
      <c r="A19" s="13" t="s">
        <v>1271</v>
      </c>
      <c r="B19" s="79">
        <f>COUNTIF(Pin_Map!$K$6:$K$68,"CONFLICT")</f>
        <v>2</v>
      </c>
      <c r="C19" s="13" t="str">
        <f>IF(B19=0,"OK","CONFLICT")</f>
        <v>CONFLICT</v>
      </c>
      <c r="D19" s="13" t="s">
        <v>1272</v>
      </c>
    </row>
    <row r="20" spans="1:5" x14ac:dyDescent="0.3">
      <c r="A20" s="13" t="s">
        <v>1273</v>
      </c>
      <c r="B20" s="79">
        <f>RF_CN0</f>
        <v>44.494458402279278</v>
      </c>
      <c r="C20" s="37" t="str">
        <f>IF(RF_CN0&gt;=RF_CN0min,"OK","MARGINAL")</f>
        <v>OK</v>
      </c>
      <c r="D20" s="13" t="s">
        <v>1274</v>
      </c>
    </row>
    <row r="21" spans="1:5" x14ac:dyDescent="0.3">
      <c r="A21" s="13" t="s">
        <v>1275</v>
      </c>
      <c r="B21" s="79">
        <f>LOG_Buf</f>
        <v>17408</v>
      </c>
      <c r="C21" s="13" t="str">
        <f>"—"</f>
        <v>—</v>
      </c>
      <c r="D21" s="13" t="s">
        <v>1276</v>
      </c>
    </row>
    <row r="23" spans="1:5" x14ac:dyDescent="0.3">
      <c r="A23" s="3" t="s">
        <v>1277</v>
      </c>
      <c r="B23" s="4"/>
      <c r="C23" s="4"/>
      <c r="D23" s="4"/>
      <c r="E23" s="4"/>
    </row>
    <row r="24" spans="1:5" ht="42" customHeight="1" x14ac:dyDescent="0.3">
      <c r="A24" s="12" t="s">
        <v>1278</v>
      </c>
      <c r="B24" s="12" t="s">
        <v>1279</v>
      </c>
      <c r="C24" s="12" t="s">
        <v>1280</v>
      </c>
    </row>
    <row r="25" spans="1:5" ht="26.4" x14ac:dyDescent="0.3">
      <c r="A25" s="13" t="s">
        <v>1281</v>
      </c>
      <c r="B25" s="13" t="s">
        <v>1282</v>
      </c>
      <c r="C25" s="13" t="s">
        <v>1283</v>
      </c>
    </row>
    <row r="26" spans="1:5" x14ac:dyDescent="0.3">
      <c r="A26" s="13" t="s">
        <v>1281</v>
      </c>
      <c r="B26" s="13" t="s">
        <v>1284</v>
      </c>
      <c r="C26" s="13" t="s">
        <v>1285</v>
      </c>
    </row>
    <row r="27" spans="1:5" x14ac:dyDescent="0.3">
      <c r="A27" s="13" t="s">
        <v>1281</v>
      </c>
      <c r="B27" s="13" t="s">
        <v>1286</v>
      </c>
      <c r="C27" s="13" t="s">
        <v>1287</v>
      </c>
    </row>
    <row r="28" spans="1:5" x14ac:dyDescent="0.3">
      <c r="A28" s="13" t="s">
        <v>1281</v>
      </c>
      <c r="B28" s="13" t="s">
        <v>1288</v>
      </c>
      <c r="C28" s="13" t="s">
        <v>1289</v>
      </c>
    </row>
    <row r="29" spans="1:5" x14ac:dyDescent="0.3">
      <c r="A29" s="13" t="s">
        <v>1281</v>
      </c>
      <c r="B29" s="13" t="s">
        <v>1272</v>
      </c>
      <c r="C29" s="13" t="s">
        <v>1290</v>
      </c>
    </row>
    <row r="30" spans="1:5" ht="26.4" x14ac:dyDescent="0.3">
      <c r="A30" s="13" t="s">
        <v>1291</v>
      </c>
      <c r="B30" s="13" t="s">
        <v>1292</v>
      </c>
      <c r="C30" s="13" t="s">
        <v>1293</v>
      </c>
    </row>
    <row r="31" spans="1:5" ht="26.4" x14ac:dyDescent="0.3">
      <c r="A31" s="13" t="s">
        <v>1294</v>
      </c>
      <c r="B31" s="13" t="s">
        <v>1295</v>
      </c>
      <c r="C31" s="13" t="s">
        <v>1296</v>
      </c>
    </row>
    <row r="32" spans="1:5" x14ac:dyDescent="0.3">
      <c r="A32" s="13" t="s">
        <v>1294</v>
      </c>
      <c r="B32" s="13" t="s">
        <v>1297</v>
      </c>
      <c r="C32" s="13" t="s">
        <v>1298</v>
      </c>
    </row>
    <row r="33" spans="1:3" ht="26.4" x14ac:dyDescent="0.3">
      <c r="A33" s="13" t="s">
        <v>1299</v>
      </c>
      <c r="B33" s="13" t="s">
        <v>1300</v>
      </c>
      <c r="C33" s="13" t="s">
        <v>1301</v>
      </c>
    </row>
    <row r="34" spans="1:3" x14ac:dyDescent="0.3">
      <c r="A34" s="13" t="s">
        <v>1299</v>
      </c>
      <c r="B34" s="13" t="s">
        <v>1274</v>
      </c>
      <c r="C34" s="13" t="s">
        <v>1302</v>
      </c>
    </row>
    <row r="35" spans="1:3" x14ac:dyDescent="0.3">
      <c r="A35" s="13" t="s">
        <v>1299</v>
      </c>
      <c r="B35" s="13" t="s">
        <v>1303</v>
      </c>
      <c r="C35" s="13" t="s">
        <v>1304</v>
      </c>
    </row>
    <row r="36" spans="1:3" x14ac:dyDescent="0.3">
      <c r="A36" s="13" t="s">
        <v>1305</v>
      </c>
      <c r="B36" s="13" t="s">
        <v>1306</v>
      </c>
      <c r="C36" s="13" t="s">
        <v>1307</v>
      </c>
    </row>
  </sheetData>
  <conditionalFormatting sqref="C7:C21">
    <cfRule type="expression" dxfId="2" priority="2">
      <formula>OR(LEFT(C7,8)="CONFLICT",LEFT(C7,7)="EXCEEDS",LEFT(C7,4)="OVER",LEFT(C7,5)="LIMIT",LEFT(C7,7)="INVALID",LEFT(C7,9)="VIOLATION",LEFT(C7,8)="BAUD ERR",LEFT(C7,4)="HIGH",LEFT(C7,5)="BELOW",LEFT(C7,4)="FAIL",LEFT(C7,7)="TOO BIG")</formula>
    </cfRule>
    <cfRule type="expression" dxfId="1" priority="3">
      <formula>OR(LEFT(C7,8)="MARGINAL",LEFT(C7,3)="MED",LEFT(C7,5)="CHECK",LEFT(C7,3)="TL:")</formula>
    </cfRule>
    <cfRule type="expression" dxfId="0" priority="4">
      <formula>LEFT(C7,2)="OK"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149</vt:i4>
      </vt:variant>
    </vt:vector>
  </HeadingPairs>
  <TitlesOfParts>
    <vt:vector size="162" baseType="lpstr">
      <vt:lpstr>SW_Timing_Budgets</vt:lpstr>
      <vt:lpstr>Interface_Data_Rates</vt:lpstr>
      <vt:lpstr>Power_Budget</vt:lpstr>
      <vt:lpstr>CPU_Load</vt:lpstr>
      <vt:lpstr>Memory_Logging</vt:lpstr>
      <vt:lpstr>Clock_Sync_Accuracy</vt:lpstr>
      <vt:lpstr>Link_Margin_SI</vt:lpstr>
      <vt:lpstr>RF_GPS_Link</vt:lpstr>
      <vt:lpstr>Magnetic_Interference</vt:lpstr>
      <vt:lpstr>Thermal</vt:lpstr>
      <vt:lpstr>Pin_Map</vt:lpstr>
      <vt:lpstr>Cost_BOM</vt:lpstr>
      <vt:lpstr>Summary_Index</vt:lpstr>
      <vt:lpstr>AL_Bit</vt:lpstr>
      <vt:lpstr>AL_Board</vt:lpstr>
      <vt:lpstr>AL_Err</vt:lpstr>
      <vt:lpstr>AL_ID</vt:lpstr>
      <vt:lpstr>AL_Periph</vt:lpstr>
      <vt:lpstr>Ballow</vt:lpstr>
      <vt:lpstr>Bat_mAh</vt:lpstr>
      <vt:lpstr>Bat_use</vt:lpstr>
      <vt:lpstr>Bh</vt:lpstr>
      <vt:lpstr>Buck_Iq</vt:lpstr>
      <vt:lpstr>Buck_Rating</vt:lpstr>
      <vt:lpstr>BuckLoss_max</vt:lpstr>
      <vt:lpstr>BUS_Board</vt:lpstr>
      <vt:lpstr>BUS_ID</vt:lpstr>
      <vt:lpstr>BUS_Sync</vt:lpstr>
      <vt:lpstr>BUS_Util</vt:lpstr>
      <vt:lpstr>BUS_Worst</vt:lpstr>
      <vt:lpstr>CLK_Board</vt:lpstr>
      <vt:lpstr>CLK_HCLK</vt:lpstr>
      <vt:lpstr>CLK_HSE</vt:lpstr>
      <vt:lpstr>CLK_P1</vt:lpstr>
      <vt:lpstr>CLK_P2</vt:lpstr>
      <vt:lpstr>CLK_SYS</vt:lpstr>
      <vt:lpstr>CLK_T1</vt:lpstr>
      <vt:lpstr>CLK_T2</vt:lpstr>
      <vt:lpstr>CPU_Board</vt:lpstr>
      <vt:lpstr>CPU_Util</vt:lpstr>
      <vt:lpstr>CtxCyc</vt:lpstr>
      <vt:lpstr>DMA_Board</vt:lpstr>
      <vt:lpstr>DMA_Bytes</vt:lpstr>
      <vt:lpstr>DMA_Conf</vt:lpstr>
      <vt:lpstr>DMA_Key</vt:lpstr>
      <vt:lpstr>DMA_Text</vt:lpstr>
      <vt:lpstr>DMA_Use</vt:lpstr>
      <vt:lpstr>Eta_hi</vt:lpstr>
      <vt:lpstr>Eta_lo</vt:lpstr>
      <vt:lpstr>Eta_typ</vt:lpstr>
      <vt:lpstr>ExtFee</vt:lpstr>
      <vt:lpstr>GpsHz</vt:lpstr>
      <vt:lpstr>HdgDeg</vt:lpstr>
      <vt:lpstr>Ibase_F4</vt:lpstr>
      <vt:lpstr>Ibase_G0</vt:lpstr>
      <vt:lpstr>Ibat_max_min</vt:lpstr>
      <vt:lpstr>Ibat_pk_min</vt:lpstr>
      <vt:lpstr>Ibat_typ_min</vt:lpstr>
      <vt:lpstr>Ibat_typ_nom</vt:lpstr>
      <vt:lpstr>IDR_Alloc</vt:lpstr>
      <vt:lpstr>IDR_Bus</vt:lpstr>
      <vt:lpstr>IDR_Busy</vt:lpstr>
      <vt:lpstr>IDR_Bytes</vt:lpstr>
      <vt:lpstr>IDR_ID</vt:lpstr>
      <vt:lpstr>IDR_N</vt:lpstr>
      <vt:lpstr>IDR_Pay</vt:lpstr>
      <vt:lpstr>IDR_Rate</vt:lpstr>
      <vt:lpstr>IDR_Time</vt:lpstr>
      <vt:lpstr>IDR_Util</vt:lpstr>
      <vt:lpstr>Irail_max</vt:lpstr>
      <vt:lpstr>Irail_min</vt:lpstr>
      <vt:lpstr>Irail_pk</vt:lpstr>
      <vt:lpstr>Irail_typ</vt:lpstr>
      <vt:lpstr>ISR_Board</vt:lpstr>
      <vt:lpstr>ISR_us</vt:lpstr>
      <vt:lpstr>IsrJit</vt:lpstr>
      <vt:lpstr>kF4</vt:lpstr>
      <vt:lpstr>kG0</vt:lpstr>
      <vt:lpstr>LED_Duty</vt:lpstr>
      <vt:lpstr>LED_R</vt:lpstr>
      <vt:lpstr>LED_Vf</vt:lpstr>
      <vt:lpstr>LOG_Bps</vt:lpstr>
      <vt:lpstr>LOG_Buf</vt:lpstr>
      <vt:lpstr>LOG_BytesPerCycle</vt:lpstr>
      <vt:lpstr>LOG_FillMs</vt:lpstr>
      <vt:lpstr>LoopHz</vt:lpstr>
      <vt:lpstr>LoopMinHz</vt:lpstr>
      <vt:lpstr>LoopUs</vt:lpstr>
      <vt:lpstr>LossQ1_max</vt:lpstr>
      <vt:lpstr>MagBr</vt:lpstr>
      <vt:lpstr>MagFS</vt:lpstr>
      <vt:lpstr>MagHz</vt:lpstr>
      <vt:lpstr>MagL</vt:lpstr>
      <vt:lpstr>MagR</vt:lpstr>
      <vt:lpstr>MAP_Ch</vt:lpstr>
      <vt:lpstr>MAP_Ctrl</vt:lpstr>
      <vt:lpstr>MAP_Req</vt:lpstr>
      <vt:lpstr>MAP_Stream</vt:lpstr>
      <vt:lpstr>MaxBusUtil</vt:lpstr>
      <vt:lpstr>MaxCpuUtil</vt:lpstr>
      <vt:lpstr>MCU_max</vt:lpstr>
      <vt:lpstr>MCU_min</vt:lpstr>
      <vt:lpstr>MissionMin</vt:lpstr>
      <vt:lpstr>NPanels</vt:lpstr>
      <vt:lpstr>PpsAcc</vt:lpstr>
      <vt:lpstr>PROTO_Bits</vt:lpstr>
      <vt:lpstr>PROTO_Name</vt:lpstr>
      <vt:lpstr>PWR_Board</vt:lpstr>
      <vt:lpstr>PWR_Pmax</vt:lpstr>
      <vt:lpstr>PWR_Ref</vt:lpstr>
      <vt:lpstr>RatingQ1</vt:lpstr>
      <vt:lpstr>RdsQ1</vt:lpstr>
      <vt:lpstr>RF_CN0</vt:lpstr>
      <vt:lpstr>RF_CN0min</vt:lpstr>
      <vt:lpstr>RF_Gant</vt:lpstr>
      <vt:lpstr>RF_Glna</vt:lpstr>
      <vt:lpstr>RF_Gmax</vt:lpstr>
      <vt:lpstr>RF_Lcab</vt:lpstr>
      <vt:lpstr>RF_Lpcb</vt:lpstr>
      <vt:lpstr>RF_NFlna</vt:lpstr>
      <vt:lpstr>RF_NFrx</vt:lpstr>
      <vt:lpstr>RF_NFsys</vt:lpstr>
      <vt:lpstr>RF_Sig</vt:lpstr>
      <vt:lpstr>Rp_B1</vt:lpstr>
      <vt:lpstr>Rp_B3</vt:lpstr>
      <vt:lpstr>RS_Iq</vt:lpstr>
      <vt:lpstr>RS_Rload</vt:lpstr>
      <vt:lpstr>RS_Vod</vt:lpstr>
      <vt:lpstr>RtosMaxSys</vt:lpstr>
      <vt:lpstr>RtosTick</vt:lpstr>
      <vt:lpstr>SD_Act</vt:lpstr>
      <vt:lpstr>SD_Chunk</vt:lpstr>
      <vt:lpstr>SD_GB</vt:lpstr>
      <vt:lpstr>SD_Idle</vt:lpstr>
      <vt:lpstr>SD_MinMBps</vt:lpstr>
      <vt:lpstr>SD_Stall</vt:lpstr>
      <vt:lpstr>SdioMHz</vt:lpstr>
      <vt:lpstr>SetupFee</vt:lpstr>
      <vt:lpstr>Ta</vt:lpstr>
      <vt:lpstr>TIM_Board</vt:lpstr>
      <vt:lpstr>TIM_Name</vt:lpstr>
      <vt:lpstr>TIM_Tick</vt:lpstr>
      <vt:lpstr>TIM_Upd</vt:lpstr>
      <vt:lpstr>TjMargin</vt:lpstr>
      <vt:lpstr>TL_AvgCPU</vt:lpstr>
      <vt:lpstr>TL_Board</vt:lpstr>
      <vt:lpstr>TL_CPUus</vt:lpstr>
      <vt:lpstr>TL_Occ</vt:lpstr>
      <vt:lpstr>TL_Task</vt:lpstr>
      <vt:lpstr>TL_Worst</vt:lpstr>
      <vt:lpstr>TLS_Board</vt:lpstr>
      <vt:lpstr>TLS_Busw</vt:lpstr>
      <vt:lpstr>TLS_CPUw</vt:lpstr>
      <vt:lpstr>Vbat_max</vt:lpstr>
      <vt:lpstr>Vbat_min</vt:lpstr>
      <vt:lpstr>Vbat_nom</vt:lpstr>
      <vt:lpstr>Vrail</vt:lpstr>
      <vt:lpstr>Xt_age</vt:lpstr>
      <vt:lpstr>Xt_ppm</vt:lpstr>
      <vt:lpstr>Xt_pull</vt:lpstr>
      <vt:lpstr>Xt_temp</vt:lpstr>
      <vt:lpstr>Xt_tol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Qin, Aleph</cp:lastModifiedBy>
  <cp:revision>0</cp:revision>
  <dcterms:created xsi:type="dcterms:W3CDTF">2026-10-27T23:26:23Z</dcterms:created>
  <dcterms:modified xsi:type="dcterms:W3CDTF">2026-10-28T00:31:21Z</dcterms:modified>
  <dc:language>en-US</dc:language>
</cp:coreProperties>
</file>